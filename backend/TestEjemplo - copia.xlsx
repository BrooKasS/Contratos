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defaultThemeVersion="124226"/>
  <mc:AlternateContent xmlns:mc="http://schemas.openxmlformats.org/markup-compatibility/2006">
    <mc:Choice Requires="x15">
      <x15ac:absPath xmlns:x15ac="http://schemas.microsoft.com/office/spreadsheetml/2010/11/ac" url="https://fiduprevisora-my.sharepoint.com/personal/p_scorrea_fiduprevisora_com_co/Documents/Escritorio/contratos-dashboard/backend/"/>
    </mc:Choice>
  </mc:AlternateContent>
  <xr:revisionPtr revIDLastSave="90" documentId="8_{4CA17712-2CC0-4CCD-AA75-F19B91EB8E68}" xr6:coauthVersionLast="47" xr6:coauthVersionMax="47" xr10:uidLastSave="{6C6B920E-AA4F-492C-B714-1E4DAA5C59BE}"/>
  <bookViews>
    <workbookView xWindow="-110" yWindow="-110" windowWidth="19420" windowHeight="10300" xr2:uid="{00000000-000D-0000-FFFF-FFFF00000000}"/>
  </bookViews>
  <sheets>
    <sheet name="FR-GAD-02-017" sheetId="1" r:id="rId1"/>
  </sheets>
  <definedNames>
    <definedName name="_xlnm.Print_Area" localSheetId="0">'FR-GAD-02-017'!$A$1:$AU$156</definedName>
    <definedName name="_xlnm.Print_Titles" localSheetId="0">'FR-GAD-02-017'!$1:$4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N124" i="1" l="1"/>
  <c r="AN128" i="1"/>
  <c r="AN130" i="1" s="1"/>
  <c r="J37" i="1"/>
  <c r="AN55" i="1" l="1"/>
  <c r="AZ137" i="1"/>
  <c r="AZ135" i="1"/>
  <c r="AZ130" i="1"/>
  <c r="AZ117" i="1"/>
  <c r="AZ119" i="1" s="1"/>
  <c r="AZ126" i="1" s="1"/>
  <c r="AZ128" i="1" s="1"/>
  <c r="AZ129" i="1" s="1"/>
  <c r="AZ131" i="1" s="1"/>
  <c r="AZ133" i="1" s="1"/>
  <c r="AN46" i="1"/>
  <c r="AN113" i="1"/>
  <c r="AN1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Guanarita Gomez Juan Sebastian</author>
    <author>Castro Bueno Francy Paola</author>
    <author>Merchan Bautista Walter Ricardo</author>
  </authors>
  <commentList>
    <comment ref="AK7" authorId="0" shapeId="0" xr:uid="{00000000-0006-0000-0000-000001000000}">
      <text>
        <r>
          <rPr>
            <b/>
            <sz val="9"/>
            <color indexed="81"/>
            <rFont val="Tahoma"/>
            <family val="2"/>
          </rPr>
          <t>Guanarita Gomez Juan Sebastian:</t>
        </r>
        <r>
          <rPr>
            <sz val="9"/>
            <color indexed="81"/>
            <rFont val="Tahoma"/>
            <family val="2"/>
          </rPr>
          <t xml:space="preserve">
Área del supervisor (Dirección o Gerencia)</t>
        </r>
      </text>
    </comment>
    <comment ref="I13" authorId="0" shapeId="0" xr:uid="{00000000-0006-0000-0000-000002000000}">
      <text>
        <r>
          <rPr>
            <b/>
            <sz val="9"/>
            <color indexed="81"/>
            <rFont val="Tahoma"/>
            <family val="2"/>
          </rPr>
          <t>Guanarita Gomez Juan Sebastian:</t>
        </r>
        <r>
          <rPr>
            <sz val="9"/>
            <color indexed="81"/>
            <rFont val="Tahoma"/>
            <family val="2"/>
          </rPr>
          <t xml:space="preserve">
Transcripción del Objeto del Contrato</t>
        </r>
      </text>
    </comment>
    <comment ref="H23" authorId="1" shapeId="0" xr:uid="{00000000-0006-0000-0000-000006000000}">
      <text>
        <r>
          <rPr>
            <b/>
            <sz val="9"/>
            <color indexed="81"/>
            <rFont val="Tahoma"/>
            <family val="2"/>
          </rPr>
          <t xml:space="preserve">Castro Bueno Francy Paola:
</t>
        </r>
        <r>
          <rPr>
            <sz val="9"/>
            <color indexed="81"/>
            <rFont val="Tahoma"/>
            <family val="2"/>
          </rPr>
          <t>En la duración del contrato se debe ingresar lo pactado en el contrato (meses, días, años, hasta el 31 de dic/22, por ejemplo.</t>
        </r>
      </text>
    </comment>
    <comment ref="W23" authorId="0" shapeId="0" xr:uid="{A9F35707-D699-44AC-A16B-18532A211DE8}">
      <text>
        <r>
          <rPr>
            <b/>
            <sz val="9"/>
            <color indexed="81"/>
            <rFont val="Tahoma"/>
            <family val="2"/>
          </rPr>
          <t>Guanarita Gomez Juan Sebastian:</t>
        </r>
        <r>
          <rPr>
            <sz val="9"/>
            <color indexed="81"/>
            <rFont val="Tahoma"/>
            <family val="2"/>
          </rPr>
          <t xml:space="preserve">
Acta de Inicio según aplique.</t>
        </r>
      </text>
    </comment>
    <comment ref="AH23" authorId="2" shapeId="0" xr:uid="{A86E97CF-1E50-4A1F-8E1D-78517E7BAD31}">
      <text>
        <r>
          <rPr>
            <b/>
            <sz val="9"/>
            <color indexed="81"/>
            <rFont val="Tahoma"/>
            <family val="2"/>
          </rPr>
          <t>Merchan Bautista Walter Ricardo:</t>
        </r>
        <r>
          <rPr>
            <sz val="9"/>
            <color indexed="81"/>
            <rFont val="Tahoma"/>
            <family val="2"/>
          </rPr>
          <t xml:space="preserve">
corresponde a la fecha de terminación del contrato inicial</t>
        </r>
      </text>
    </comment>
    <comment ref="AH27" authorId="2" shapeId="0" xr:uid="{B600A3F4-F469-45AB-B992-508840C9423F}">
      <text>
        <r>
          <rPr>
            <b/>
            <sz val="9"/>
            <color indexed="81"/>
            <rFont val="Tahoma"/>
            <family val="2"/>
          </rPr>
          <t>Merchan Bautista Walter Ricardo:</t>
        </r>
        <r>
          <rPr>
            <sz val="9"/>
            <color indexed="81"/>
            <rFont val="Tahoma"/>
            <family val="2"/>
          </rPr>
          <t xml:space="preserve">
corresponde a la fecha de terminación de cada otrosí</t>
        </r>
      </text>
    </comment>
    <comment ref="J37" authorId="0" shapeId="0" xr:uid="{00000000-0006-0000-0000-00000A000000}">
      <text>
        <r>
          <rPr>
            <b/>
            <sz val="9"/>
            <color indexed="81"/>
            <rFont val="Tahoma"/>
            <family val="2"/>
          </rPr>
          <t>Guanarita Gomez Juan Sebastian:</t>
        </r>
        <r>
          <rPr>
            <sz val="9"/>
            <color indexed="81"/>
            <rFont val="Tahoma"/>
            <family val="2"/>
          </rPr>
          <t xml:space="preserve">
Valor del contrato incluido adiciones</t>
        </r>
      </text>
    </comment>
    <comment ref="B39" authorId="1" shapeId="0" xr:uid="{00000000-0006-0000-0000-00000B000000}">
      <text>
        <r>
          <rPr>
            <b/>
            <sz val="9"/>
            <color indexed="81"/>
            <rFont val="Tahoma"/>
            <family val="2"/>
          </rPr>
          <t>Castro Bueno Francy Paola:</t>
        </r>
        <r>
          <rPr>
            <sz val="9"/>
            <color indexed="81"/>
            <rFont val="Tahoma"/>
            <family val="2"/>
          </rPr>
          <t xml:space="preserve">
Relacionar la totalidad de CDP expedidos en la ejecución del contrato, incluyendo traslados presupuestales|</t>
        </r>
      </text>
    </comment>
    <comment ref="B48" authorId="1" shapeId="0" xr:uid="{00000000-0006-0000-0000-00000C000000}">
      <text>
        <r>
          <rPr>
            <b/>
            <sz val="9"/>
            <color indexed="81"/>
            <rFont val="Tahoma"/>
            <family val="2"/>
          </rPr>
          <t>Castro Bueno Francy Paola:</t>
        </r>
        <r>
          <rPr>
            <sz val="9"/>
            <color indexed="81"/>
            <rFont val="Tahoma"/>
            <family val="2"/>
          </rPr>
          <t xml:space="preserve">
Relacionar la totalidad de CRP expedidos en la ejecución del contrato, incluyendo traslados presupuestales|
Walter Merchán: Es procedente aclarar cuando un CRP está reemplazando uno anterior por vencimiento.</t>
        </r>
      </text>
    </comment>
    <comment ref="AN55" authorId="1" shapeId="0" xr:uid="{00000000-0006-0000-0000-00000D000000}">
      <text>
        <r>
          <rPr>
            <b/>
            <sz val="9"/>
            <color indexed="81"/>
            <rFont val="Tahoma"/>
            <family val="2"/>
          </rPr>
          <t xml:space="preserve">Castro Bueno Francy Paola:
</t>
        </r>
        <r>
          <rPr>
            <sz val="9"/>
            <color indexed="81"/>
            <rFont val="Tahoma"/>
            <family val="2"/>
          </rPr>
          <t>Si el valor total de CRP supera o es inferor al pactado en el contrato, se requiere hacer la claridad en el espacio de Observaciones</t>
        </r>
        <r>
          <rPr>
            <b/>
            <sz val="9"/>
            <color indexed="81"/>
            <rFont val="Tahoma"/>
            <family val="2"/>
          </rPr>
          <t>.</t>
        </r>
      </text>
    </comment>
    <comment ref="B59" authorId="0" shapeId="0" xr:uid="{00000000-0006-0000-0000-00000E000000}">
      <text>
        <r>
          <rPr>
            <b/>
            <sz val="9"/>
            <color indexed="81"/>
            <rFont val="Tahoma"/>
            <family val="2"/>
          </rPr>
          <t>Guanarita Gomez Juan Sebastian:</t>
        </r>
        <r>
          <rPr>
            <sz val="9"/>
            <color indexed="81"/>
            <rFont val="Tahoma"/>
            <family val="2"/>
          </rPr>
          <t xml:space="preserve">
Ultimo tramite contractual (Contrato, Otrosí)</t>
        </r>
      </text>
    </comment>
    <comment ref="B68" authorId="0" shapeId="0" xr:uid="{00000000-0006-0000-0000-00000F000000}">
      <text>
        <r>
          <rPr>
            <b/>
            <sz val="9"/>
            <color indexed="81"/>
            <rFont val="Tahoma"/>
            <family val="2"/>
          </rPr>
          <t>Guanarita Gomez Juan Sebastian:</t>
        </r>
        <r>
          <rPr>
            <sz val="9"/>
            <color indexed="81"/>
            <rFont val="Tahoma"/>
            <family val="2"/>
          </rPr>
          <t xml:space="preserve">
Todas las obligaciones de la clausula CUARTA del contrato (GENERALES y ESPECIFICAS)</t>
        </r>
      </text>
    </comment>
    <comment ref="B91" authorId="0" shapeId="0" xr:uid="{00000000-0006-0000-0000-000011000000}">
      <text>
        <r>
          <rPr>
            <b/>
            <sz val="9"/>
            <color indexed="81"/>
            <rFont val="Tahoma"/>
            <family val="2"/>
          </rPr>
          <t>Guanarita Gomez Juan Sebastian:</t>
        </r>
        <r>
          <rPr>
            <sz val="9"/>
            <color indexed="81"/>
            <rFont val="Tahoma"/>
            <family val="2"/>
          </rPr>
          <t xml:space="preserve">
Dejar las anotaciones frentes a los incumplimientosde las obligaciones (Aplica para las obligaciones que no cumple, cumple minimamente y cumple parcialmente)</t>
        </r>
      </text>
    </comment>
    <comment ref="B94" authorId="0" shapeId="0" xr:uid="{7E54E2B3-EF47-4466-A5AD-5EFAD0CA083F}">
      <text>
        <r>
          <rPr>
            <b/>
            <sz val="9"/>
            <color indexed="81"/>
            <rFont val="Tahoma"/>
            <family val="2"/>
          </rPr>
          <t>Guanarita Gomez Juan Sebastian:</t>
        </r>
        <r>
          <rPr>
            <sz val="9"/>
            <color indexed="81"/>
            <rFont val="Tahoma"/>
            <family val="2"/>
          </rPr>
          <t xml:space="preserve">
Aplica para Desempeño Deficiente</t>
        </r>
      </text>
    </comment>
  </commentList>
</comments>
</file>

<file path=xl/sharedStrings.xml><?xml version="1.0" encoding="utf-8"?>
<sst xmlns="http://schemas.openxmlformats.org/spreadsheetml/2006/main" count="235" uniqueCount="152">
  <si>
    <t>I.- GENERALIDADES DEL CONTRATO</t>
  </si>
  <si>
    <t>No. Contrato:</t>
  </si>
  <si>
    <t>Contratista:</t>
  </si>
  <si>
    <t>No.</t>
  </si>
  <si>
    <t>Representante Legal:</t>
  </si>
  <si>
    <t>Dependencia:</t>
  </si>
  <si>
    <t>Valor indeterminado:</t>
  </si>
  <si>
    <t>Número</t>
  </si>
  <si>
    <t>Fecha</t>
  </si>
  <si>
    <t>Código</t>
  </si>
  <si>
    <t>Rubro</t>
  </si>
  <si>
    <t>Valor</t>
  </si>
  <si>
    <t>CERTIFICADOS DE DISPONIBILIDAD PRESUPUESTAL</t>
  </si>
  <si>
    <t>C.C.</t>
  </si>
  <si>
    <t>Valor total Certificados de Disponibilidad Presupuestal:</t>
  </si>
  <si>
    <t>Tipo Otrosí:</t>
  </si>
  <si>
    <t>Adición</t>
  </si>
  <si>
    <t>Prórroga</t>
  </si>
  <si>
    <t>Modificación</t>
  </si>
  <si>
    <t>Duración</t>
  </si>
  <si>
    <t>Fecha Fin</t>
  </si>
  <si>
    <t>No</t>
  </si>
  <si>
    <t>III.- VALORES</t>
  </si>
  <si>
    <t>IV.- GARANTÍAS DEL CONTRATO</t>
  </si>
  <si>
    <t>Fecha Inicio</t>
  </si>
  <si>
    <t>II.- DURACIÓN, ADICIONES, PRORROGAS Y MODIFICACIONES AL CONTRATO</t>
  </si>
  <si>
    <t>OTROSÍES AL CONTRATO</t>
  </si>
  <si>
    <t>Fecha terminación</t>
  </si>
  <si>
    <t>Si</t>
  </si>
  <si>
    <t>Aseguradora</t>
  </si>
  <si>
    <t>No. Póliza</t>
  </si>
  <si>
    <t>Vigencia Inicio</t>
  </si>
  <si>
    <t>Valor asegurado</t>
  </si>
  <si>
    <t>Objeto del contrato:</t>
  </si>
  <si>
    <t>Nit.</t>
  </si>
  <si>
    <t xml:space="preserve">Valor total del contrato: </t>
  </si>
  <si>
    <t xml:space="preserve">Valor pagado antes de este informe: </t>
  </si>
  <si>
    <t xml:space="preserve">Saldo del contrato: </t>
  </si>
  <si>
    <t xml:space="preserve">VALOR A PAGAR EN ESTE INFORME: </t>
  </si>
  <si>
    <t>Firma:</t>
  </si>
  <si>
    <t>Nombre:</t>
  </si>
  <si>
    <t>Cargo:</t>
  </si>
  <si>
    <t>Indeterminada:</t>
  </si>
  <si>
    <t xml:space="preserve">Fecha: </t>
  </si>
  <si>
    <t>Certificación Unidad de Vinculados:</t>
  </si>
  <si>
    <t>Vigencia Desde:</t>
  </si>
  <si>
    <t>Vigencia Hasta:</t>
  </si>
  <si>
    <t>¿Acta inicio?</t>
  </si>
  <si>
    <t>Número CRP</t>
  </si>
  <si>
    <t>No. Factura</t>
  </si>
  <si>
    <t>Numero CDP</t>
  </si>
  <si>
    <t>Concepto</t>
  </si>
  <si>
    <t xml:space="preserve">Valor total pagos realizados: </t>
  </si>
  <si>
    <r>
      <t xml:space="preserve">PAGO ACTUAL </t>
    </r>
    <r>
      <rPr>
        <sz val="10"/>
        <rFont val="Calibri"/>
        <family val="2"/>
      </rPr>
      <t>(Con el presente informe)</t>
    </r>
  </si>
  <si>
    <r>
      <t xml:space="preserve">PAGOS REALIZADOS </t>
    </r>
    <r>
      <rPr>
        <sz val="10"/>
        <rFont val="Calibri"/>
        <family val="2"/>
      </rPr>
      <t>(Anteriores al presente informe)</t>
    </r>
  </si>
  <si>
    <t>SUPERVISOR DEL CONTRATO</t>
  </si>
  <si>
    <t>INFORME DE SUPERVISIÓN DE CONTRATOS Y ÓRDENES DE EMPRESA</t>
  </si>
  <si>
    <t>Nombre Supervisor:</t>
  </si>
  <si>
    <t>ID VOUCHER</t>
  </si>
  <si>
    <t>Número Pedido</t>
  </si>
  <si>
    <t>Numero Solicitud</t>
  </si>
  <si>
    <t>Ciudad donde se prestó el servicio:</t>
  </si>
  <si>
    <t xml:space="preserve">Cuenta bancaria del proveedor: </t>
  </si>
  <si>
    <t>Método de pago:</t>
  </si>
  <si>
    <t>NO APLICA</t>
  </si>
  <si>
    <t>OBSERVACIONES</t>
  </si>
  <si>
    <t>CONTRATO PRINCIPAL</t>
  </si>
  <si>
    <t>Fecha Perfeccionamiento</t>
  </si>
  <si>
    <t>Valor Adición</t>
  </si>
  <si>
    <t>Duración Prorroga</t>
  </si>
  <si>
    <t>Valor TOTAL del contrato:</t>
  </si>
  <si>
    <t>Amparos</t>
  </si>
  <si>
    <t>Vigencia final</t>
  </si>
  <si>
    <t>Tipo de Contrato:</t>
  </si>
  <si>
    <t>V.- GRADO DE CUMPLIMIENTO DE LAS OBLIGACIONES:</t>
  </si>
  <si>
    <t xml:space="preserve"> </t>
  </si>
  <si>
    <t>Instructivo para diligenciar el formato</t>
  </si>
  <si>
    <r>
      <t xml:space="preserve">VI.- DECLARACIONES Y PLAN DE MEJORAMIENTO DEL SUPERVISOR ANTE  UN EVENTUAL DESEMPEÑO DEFICIENTE O A MEJORAR DE LAS OBLIGACIONES
</t>
    </r>
    <r>
      <rPr>
        <sz val="10"/>
        <rFont val="Calibri"/>
        <family val="2"/>
      </rPr>
      <t>(Diligenciar solo en el caso en el que haya marcado "Deficiente" o "A mejorar" en el numeral V)</t>
    </r>
  </si>
  <si>
    <t xml:space="preserve">SALDO A  LIBERAR A FAVOR DE FIDUPREVISORA: </t>
  </si>
  <si>
    <t>CONCEPTO GENERAL DEL CUMPLIMIENTO DE LAS OBLIGACIONES CONTRACTUALES</t>
  </si>
  <si>
    <t>Recepción sin pedido</t>
  </si>
  <si>
    <t>Recepción con pedido</t>
  </si>
  <si>
    <t>RECEPCIÓN</t>
  </si>
  <si>
    <r>
      <rPr>
        <b/>
        <sz val="9"/>
        <color theme="1"/>
        <rFont val="Calibri"/>
        <family val="2"/>
        <scheme val="minor"/>
      </rPr>
      <t xml:space="preserve">I- GENERALIDADES DEL CONTRATO </t>
    </r>
    <r>
      <rPr>
        <sz val="9"/>
        <color theme="1"/>
        <rFont val="Calibri"/>
        <family val="2"/>
        <scheme val="minor"/>
      </rPr>
      <t xml:space="preserve">
•  Nombre de supervisor: Nombre del supervisor indicado  en la cláusula de supervisión del contrato. 
•  Dependencia: Especificar la dependencia usuaria a la que pertenece el supervisor del contrato.
•  No. de contrato: Número especificado en  el encabezado  del  contrato. 
• Tipo de contrato: Clase indicada en el encabezado del contrato, por ejemplo: Prestación de servicios, compraventa, obra, arrendamiento, entre otros.
•  Objeto: Indicar el  objeto  en la cláusula del contrato en su integridad. 
•  Certificación Unidad de Vinculados: 
    - Vigencia desde: Fecha en que se expide la certificación. 
    - Vigencia hasta: Fecha en que  se termina la vigencia de la certificación la cual se encuentra especificada en la misma. 
</t>
    </r>
    <r>
      <rPr>
        <b/>
        <sz val="9"/>
        <color theme="1"/>
        <rFont val="Calibri"/>
        <family val="2"/>
        <scheme val="minor"/>
      </rPr>
      <t xml:space="preserve">
II- DURACIÓN, ADICIONES PRORROGAS Y MODIFICACIONES EL  CONTRATO</t>
    </r>
    <r>
      <rPr>
        <sz val="9"/>
        <color theme="1"/>
        <rFont val="Calibri"/>
        <family val="2"/>
        <scheme val="minor"/>
      </rPr>
      <t xml:space="preserve">
•  Contrato Principal: 
   - Fecha de perfeccionamiento: Fecha indicada al final del contrato. 
   - Duración: Tiempo determinado en el contrato  principal. 
   - Fecha de inicio: Fecha en la cual se firma el acta de inicio por parte del supervisor y contratista.  
   - Fecha de terminación: Indicar esta fecha calculando lo indicado en el contrato y la fecha de inicio del mismo. 
   - Valor: El  valor especificado en el contrato. 
•  Otrosíes al Contrato: Según el número de otrosíes realizados al contrato, es necesario que se diligencie una casilla por cada otrosí con toda la información solicitada. 
    - Fecha de perfeccionamiento: Fecha indicada al final del otrosí.
    - Tipo de otrosí:  Se debe llenar con una X  si el  otrosí tienen los  siguientes fines: Prórroga (Aumentar tiempo), adición (Aumentar el  valor), modificación ( Modificación de    cláusulas).
    - Duración (Prorroga): En caso de  que el otrosí sea una prórroga se debe indicar el  tiempo el cual se  prolonga el contrato especificando: Fecha de inicio del otrosí, fecha finalización del otrosí.
    - Valor Adición: En caso de que el otrosí sea una adición en dinero se debe indicar el valor de la misma. </t>
    </r>
  </si>
  <si>
    <t>CERTIFICADOS DE REGISTRO PRESUPUESTAL</t>
  </si>
  <si>
    <t>Valor total Certificados de Registro Presupuestal:</t>
  </si>
  <si>
    <t>NO CUMPLE</t>
  </si>
  <si>
    <t>CUMPLE MINIMAMENTE</t>
  </si>
  <si>
    <t>CUMPLE PARCIALMENTE</t>
  </si>
  <si>
    <t>CUMPLE PLENAMENTE</t>
  </si>
  <si>
    <t>OBLIGACIONES Y ESPECIFICACIONES</t>
  </si>
  <si>
    <r>
      <t>VI- DECLARACIONES Y PROPUESTAS DEL SUPERVISOR ANTE UN EVENTUAL DESEMPEÑO DEFICIENTE O MEJORA DE LAS OBLIGACIONES</t>
    </r>
    <r>
      <rPr>
        <sz val="9"/>
        <rFont val="Calibri"/>
        <family val="2"/>
      </rPr>
      <t xml:space="preserve"> (Debe diligenciarse solo en el caso en el que haya marcado "No cumple" o "Cumple minimamente" en el numeral V): De presentarse un incumplimiento respecto a las obligaciones del contrato, en esta casilla el supervisor designado debe proponer e indicar fórmulas para solucionar la situación presentada durante la ejecución del contrato.</t>
    </r>
    <r>
      <rPr>
        <b/>
        <sz val="9"/>
        <rFont val="Calibri"/>
        <family val="2"/>
      </rPr>
      <t xml:space="preserve">
VII- PAGOS: </t>
    </r>
    <r>
      <rPr>
        <sz val="9"/>
        <rFont val="Calibri"/>
        <family val="2"/>
      </rPr>
      <t xml:space="preserve">
• Pagos realizados: Indicar todos los pagos realizados en informes de supervisión anteriores, diligenciando los datos solicitados en  todas las casillas y teniendo en cuenta que todos los valores deben de ser coherentes con el valor total del contrato. 
• Pago actual: Indicar el pago que se realizará con el presente informe de supervisión.
</t>
    </r>
    <r>
      <rPr>
        <b/>
        <sz val="9"/>
        <rFont val="Calibri"/>
        <family val="2"/>
      </rPr>
      <t/>
    </r>
  </si>
  <si>
    <r>
      <t xml:space="preserve">III- VALORES 
</t>
    </r>
    <r>
      <rPr>
        <sz val="9"/>
        <rFont val="Calibri"/>
        <family val="2"/>
      </rPr>
      <t>• Valor total del contrato: Indicar la sumatoria del valor del contrato  y todos sus otrosíes.
• Valor indeterminado: Señalar  con una X  si el valor del contrato es indeterminado. 
• Certificados de Disponibilidad Presupuestal: Indicar todos los certificados de disponibilidad presupuestal que respaldaron el contrato y sus  respectivos otrosíes con los datos solicitados en el formato (Fecha, número, código, rubro y valor) para luego especificar el valor total.</t>
    </r>
    <r>
      <rPr>
        <b/>
        <sz val="9"/>
        <rFont val="Calibri"/>
        <family val="2"/>
      </rPr>
      <t xml:space="preserve">
</t>
    </r>
    <r>
      <rPr>
        <sz val="9"/>
        <rFont val="Calibri"/>
        <family val="2"/>
      </rPr>
      <t>• Certificados de Registro Presupuestal: Indicar todos los certificados de registro presupuestal que respaldaron el contrato y sus  respectivos otrosíes con los datos solicitados en el formato (Fecha, número, código, rubro y valor) para luego especificar el valor total.</t>
    </r>
    <r>
      <rPr>
        <b/>
        <sz val="9"/>
        <rFont val="Calibri"/>
        <family val="2"/>
      </rPr>
      <t xml:space="preserve">
IV- GARANTÍAS DEL CONTRATO: </t>
    </r>
    <r>
      <rPr>
        <sz val="9"/>
        <rFont val="Calibri"/>
        <family val="2"/>
      </rPr>
      <t>La póliza exigida en el contrato tiene diferentes amparos en la misma, por lo tanto el formato se debe diligenciar indicando cada amparo individualmente, con los siguientes datos particulares: 
• Aseguradora
• Número de póliza
• Amparo (Cumplimiento, calidad, pago de salarios, calidad, etc). 
• Vigencia de inicio de cada amparo 
• Fecha final de cada amparo 
• Valor asegurado de cada amparo</t>
    </r>
    <r>
      <rPr>
        <b/>
        <sz val="9"/>
        <rFont val="Calibri"/>
        <family val="2"/>
      </rPr>
      <t xml:space="preserve">
V- GRADO DE CUMPLIMIENTO DE LAS OBLIGACIONES:</t>
    </r>
    <r>
      <rPr>
        <sz val="9"/>
        <rFont val="Calibri"/>
        <family val="2"/>
      </rPr>
      <t xml:space="preserve"> Enumerar todas las obligaciones del contrato e indicar el grado de cumplimiento con sus respectivas observaciones, para finalmente puntualizar un concepto general del cumplimiento de las obligaciones del contrato. (Incluir obligaciones generales y ambientales)</t>
    </r>
  </si>
  <si>
    <t>Dejar las anotaciones frentes a los incumplimientosde las obligaciones (Aplica para las obligaciones que no cumple, cumple minimamente y cumple parcialmente)</t>
  </si>
  <si>
    <t>VIII- OBSERVACIONES</t>
  </si>
  <si>
    <r>
      <t xml:space="preserve">PÓLIZAS </t>
    </r>
    <r>
      <rPr>
        <sz val="10"/>
        <rFont val="Calibri"/>
        <family val="2"/>
      </rPr>
      <t xml:space="preserve">(Diligenciar un registro por cada amparo) </t>
    </r>
  </si>
  <si>
    <t>VIII.- PAGOS</t>
  </si>
  <si>
    <t>(aplica sólo en caso de que se cuente con soportes presupuestales de la vigencia actual)</t>
  </si>
  <si>
    <t>VII.- OBSERVACIONES GENERALES</t>
  </si>
  <si>
    <r>
      <rPr>
        <sz val="9"/>
        <rFont val="Calibri"/>
        <family val="2"/>
      </rPr>
      <t xml:space="preserve">El suscrito Supervisor del contrato de la referencia CERTIFICA que verificó que el contratista se encuentra al día por concepto de pagos y aportes a Seguridad Social y Parafiscales a través de la revisión de las constancias de pago o certificación de Revisor Fiscal; que a su vez ha verificado que la Certificación de la Unidad de Vinculados del contratista se encuentra vigente y que los datos aquí consignados son veraces y en consecuencia autoriza la realización del pago solicitado a través de la factura o cuenta de cobro entregada por el contratista. </t>
    </r>
    <r>
      <rPr>
        <b/>
        <sz val="9"/>
        <rFont val="Calibri"/>
        <family val="2"/>
      </rPr>
      <t xml:space="preserve">
Nota: solo aplica pra los casos que requiere pago</t>
    </r>
  </si>
  <si>
    <t>x</t>
  </si>
  <si>
    <t>Fecha:</t>
  </si>
  <si>
    <t>1-9000-145-2025</t>
  </si>
  <si>
    <t>PRESTACION DE SERVICIOS</t>
  </si>
  <si>
    <t>JUAN ANTONIO URIBE DE SATORY</t>
  </si>
  <si>
    <t>El CONTRATISTA con autonomía técnica y administrativa, se obliga con el CONTRATANTE a prestar los servicios de soporte, actualización y mantenimiento del aplicativo MITRA y la plataforma JAC versión ONPREMISE ESTANDAR, como también migración, implementación, soporte, actualización y mantenimiento del aplicativo MITRA Clúster SaaS, los cuales permiten realizar la integración entre el aplicativo MITRA y la Bolsa de Valores de Colombia. Lo anterior, de conformidad con la propuesta presentada por el CONTRATISTA, la cual hace parte integral del presente CONTRATO, en lo que no contravenga las disposiciones pactadas en el mismo.</t>
  </si>
  <si>
    <t>CUMPLIMIENTO</t>
  </si>
  <si>
    <t>13 meses</t>
  </si>
  <si>
    <t>0211310107_0001</t>
  </si>
  <si>
    <t>MANTENIMIENTO DE SOFTWARE</t>
  </si>
  <si>
    <t>0311110201_0004</t>
  </si>
  <si>
    <t>NUEVA FUNCIONAL-GAPS IDENT</t>
  </si>
  <si>
    <t>CALIDAD DEL SERVICIO</t>
  </si>
  <si>
    <t>SALARIOS Y PRESTACIONES SOCIALES</t>
  </si>
  <si>
    <t>SEGUROS DEL ESTADO S.A.</t>
  </si>
  <si>
    <t>21-45-101498488</t>
  </si>
  <si>
    <t>Los servicios de soporte (permanente) y mantenimiento y actualización (si hay lugar a ello) deberán ser prestados sobre el aplicativo MITRA ONPREMISE y la plataforma JAC de acuerdo con las siguientes condiciones y durante Cuatro meses: Atención telefónica de acuerdo con lo ofrecido en la oferta comercial.Atención de soporte para la aplicación, de acuerdo con la oferta comercial. Seguimiento y retroalimentación, de acuerdo con la oferta comercial y la cláusula decima de las obligaciones específicas. Cobertura, de acuerdo con lo ofrecido en la oferta comercial</t>
  </si>
  <si>
    <t>En cuanto al Acondicionamiento:
El servicio contempla las actividades técnicas necesarias para realizar la preparación y configuración de los componentes de acuerdo con lo contratado, que actualmente se encuentra en la versión MITRA estándar en su instalación On Premise, para dejarlos operativos en la nueva versión MITRA SaaS, es importante precisar que en esta nueva versión se mantiene la integración que actualmente se cuenta la Fiduciaria con el sistema BackOffice (PORFIN). Para la implantación de MITRA SaaS, se contempla la realización de: Análisis de Componentes, Migración de Datos, Integración de MITRA con la Infraestructura de Fiduciaria la Previsora S.A, Configuración Técnica, Orientación Técnica y Funcional para Implantación en Producción de MITRA
SaaS.</t>
  </si>
  <si>
    <t>En cuanto a la Integración:
El sistema MITRA SaaS dispondrá de un API construido para que los sistemas BackOffice de las entidades puedan conectarse e integrarse.
Para MITRA módulo de negociación, el API dispondrá de un Servicio Web REST que es expuesto por MITRA para que el sistema BackOffice de la entidad, al consumirlo con un par de parámetros, le retorne el listado de las operaciones que cumplen la condición de los parámetros.
El sistema BackOffice debe garantizar la correcta integración a partir de los datos que son entregados por el servicio web de MITRA.</t>
  </si>
  <si>
    <t>Los servicios de soporte, mantenimiento y actualización deberán ser prestados sobre el aplicativo MITRA Clúster SaaS de acuerdo con las siguientes condiciones y durante diez meses:
Atención telefónica de acuerdo con lo ofrecido en la oferta comercial.
Atención de soporte para la aplicación, de acuerdo con la oferta comercial.
Seguimiento y retroalimentación, de acuerdo con la oferta comercial y la cláusula decima de las obligaciones específicas.
Disponibilidad del software y la infraestructura técnica de MITRA Clúster ambiente de producción
Actualización de la versión MITRA Clúster SaaS.
Cobertura, de acuerdo con lo ofrecido en la oferta comercial.
Las demás condiciones de excepción señaladas en la oferta de servicios.</t>
  </si>
  <si>
    <t xml:space="preserve">Realizar el soporte de la aplicación, garantizando la operación del sistema de información, según las condiciones presentada en la propuesta comercial, en la versión ONPREMISE.
</t>
  </si>
  <si>
    <t xml:space="preserve">Migración, acondicionamiento, integración e implementación MITRA de versión Estándar a Versión Clúster SaaS, de acuerdo con lo establecido en la oferta.
</t>
  </si>
  <si>
    <t xml:space="preserve">Realizar soporte, mantenimiento y actualizaciones del producto para la versión CLÚSTER SaaS.
</t>
  </si>
  <si>
    <t xml:space="preserve">Brindar atención telefónica o vía email.
</t>
  </si>
  <si>
    <t xml:space="preserve">Realizar el soporte de acuerdo con lo establecido en la oferta comercial, para la en la versión ONPREMISE y la versión CLÚSTER SaaS.
</t>
  </si>
  <si>
    <t xml:space="preserve">Realizar seguimiento y retroalimentación correspondiente a uso del sistema para la versión ONPREMISE y la versión CLÚSTER SaaS.
</t>
  </si>
  <si>
    <t xml:space="preserve">Atender los incidentes y requerimientos en el horario de acuerdo con la oferta comercial para la en la versión ONPREMISE y la versión CLÚSTER SaaS.
</t>
  </si>
  <si>
    <t xml:space="preserve">Cumplir con los niveles de servicio y los requisitos establecidos en la propuesta comercial para atención de novedades.
</t>
  </si>
  <si>
    <t xml:space="preserve">Cumplir con todas y cada una de las especificaciones establecidas en la oferta comercial.
</t>
  </si>
  <si>
    <t xml:space="preserve">Ejecutar durante el plazo estipulado todas las actividades tendientes al logro de las obligaciones stablecidas en la propuesta.
</t>
  </si>
  <si>
    <t xml:space="preserve">Realizar la entrega de evidencias técnicas que den cuenta del cumplimiento del objeto y las obligaciones del contrato.
</t>
  </si>
  <si>
    <t xml:space="preserve">Realizar previa acuerdo junto con el supervisor del contrato y el líder técnico asignado, una reunión de seguimiento mensual con el fin de verificar el cumplimiento y la calidad en la prestación de los servicios.
</t>
  </si>
  <si>
    <t xml:space="preserve">Ejecutar los nuevos desarrollos y mantenimientos de software bajo el MODELO OPERATIVO DE MANTENIMIENTO Y DESARROLLO DE SOFTWARE implementado por el CONTRATANTE y adoptar las metodologías de desarrollo o marcos de trabajo apropiados y agiles.
</t>
  </si>
  <si>
    <t>Realizar el soporte de las aplicaciones bajo los lineamientos y procedimientos establecidos</t>
  </si>
  <si>
    <t>FV 3001</t>
  </si>
  <si>
    <t>Contrato de Soporte On Premise por 4 meses y Acondicionamiento de MITRA SaaS, se factura el primer 20% según contrato No.19000-145-2025</t>
  </si>
  <si>
    <t>X</t>
  </si>
  <si>
    <t>No aplica para la Version On-Premise, las SaaS se encuentra en proceso de implatación</t>
  </si>
  <si>
    <t>La version SaaS se encuentra en implantación</t>
  </si>
  <si>
    <t>BOGOTA</t>
  </si>
  <si>
    <t xml:space="preserve">TRANSFERNCIA </t>
  </si>
  <si>
    <t>HOLLMAN ANDRES SUESCUN MENDEZ</t>
  </si>
  <si>
    <t>DIRECTOR DE SOFTWARE (E )</t>
  </si>
  <si>
    <t>FV 3030</t>
  </si>
  <si>
    <t>Consultoría Técnica Acondicionamiento de MITRA SaaS, se factura el segundo pago correspondiente al 30% según Contrato No.19000-145-202</t>
  </si>
  <si>
    <t>DIRECTOR DE SOFTWARE ( E)</t>
  </si>
  <si>
    <t>CUMPLIMIENTO PLAZOS ESTABLECIDOS</t>
  </si>
  <si>
    <t>SEGUROS S.A</t>
  </si>
  <si>
    <t>12 meses</t>
  </si>
  <si>
    <t>6 meses</t>
  </si>
  <si>
    <t>18 meses</t>
  </si>
  <si>
    <t>JUAN ANDRES PEREIRA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</si>
</sst>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quot;$&quot;\ * #,##0.00_);_(&quot;$&quot;\ * \(#,##0.00\);_(&quot;$&quot;\ * &quot;-&quot;??_);_(@_)"/>
    <numFmt numFmtId="165" formatCode="_-[$$-240A]\ * #,##0.00_ ;_-[$$-240A]\ * \-#,##0.00\ ;_-[$$-240A]\ * &quot;-&quot;??_ ;_-@_ "/>
    <numFmt numFmtId="166" formatCode="_([$$-240A]\ * #,##0.00_);_([$$-240A]\ * \(#,##0.00\);_([$$-240A]\ * &quot;-&quot;??_);_(@_)"/>
  </numFmts>
  <fonts count="35" x14ac:knownFonts="1">
    <font>
      <sz val="11"/>
      <color theme="1"/>
      <name val="Calibri"/>
      <family val="2"/>
      <scheme val="minor"/>
    </font>
    <font>
      <sz val="11"/>
      <color indexed="8"/>
      <name val="Calibri"/>
      <family val="2"/>
    </font>
    <font>
      <sz val="8"/>
      <name val="Calibri"/>
      <family val="2"/>
    </font>
    <font>
      <b/>
      <sz val="10"/>
      <name val="Calibri"/>
      <family val="2"/>
    </font>
    <font>
      <sz val="10"/>
      <name val="Calibri"/>
      <family val="2"/>
    </font>
    <font>
      <sz val="10"/>
      <color indexed="8"/>
      <name val="Calibri"/>
      <family val="2"/>
    </font>
    <font>
      <b/>
      <sz val="9"/>
      <name val="Calibri"/>
      <family val="2"/>
    </font>
    <font>
      <b/>
      <sz val="10.5"/>
      <name val="Calibri"/>
      <family val="2"/>
    </font>
    <font>
      <b/>
      <sz val="10"/>
      <color indexed="8"/>
      <name val="Calibri"/>
      <family val="2"/>
    </font>
    <font>
      <b/>
      <sz val="9"/>
      <color indexed="8"/>
      <name val="Calibri"/>
      <family val="2"/>
    </font>
    <font>
      <b/>
      <sz val="8"/>
      <color indexed="8"/>
      <name val="Calibri"/>
      <family val="2"/>
    </font>
    <font>
      <b/>
      <sz val="11"/>
      <name val="Calibri"/>
      <family val="2"/>
    </font>
    <font>
      <b/>
      <sz val="8"/>
      <name val="Calibri"/>
      <family val="2"/>
      <scheme val="minor"/>
    </font>
    <font>
      <sz val="9"/>
      <color theme="0" tint="-0.14999847407452621"/>
      <name val="Calibri"/>
      <family val="2"/>
    </font>
    <font>
      <sz val="11"/>
      <color theme="0" tint="-0.14999847407452621"/>
      <name val="Calibri"/>
      <family val="2"/>
      <scheme val="minor"/>
    </font>
    <font>
      <b/>
      <sz val="10"/>
      <name val="Calibri"/>
      <family val="2"/>
      <scheme val="minor"/>
    </font>
    <font>
      <b/>
      <sz val="10"/>
      <color theme="1"/>
      <name val="Calibri"/>
      <family val="2"/>
    </font>
    <font>
      <sz val="10"/>
      <color theme="1"/>
      <name val="Calibri"/>
      <family val="2"/>
    </font>
    <font>
      <sz val="9"/>
      <color theme="1"/>
      <name val="Calibri"/>
      <family val="2"/>
      <scheme val="minor"/>
    </font>
    <font>
      <b/>
      <sz val="9"/>
      <color theme="1"/>
      <name val="Calibri"/>
      <family val="2"/>
      <scheme val="minor"/>
    </font>
    <font>
      <sz val="9"/>
      <name val="Calibri"/>
      <family val="2"/>
    </font>
    <font>
      <sz val="9"/>
      <color indexed="8"/>
      <name val="Calibri"/>
      <family val="2"/>
    </font>
    <font>
      <b/>
      <i/>
      <sz val="11"/>
      <color theme="1"/>
      <name val="Calibri"/>
      <family val="2"/>
      <scheme val="minor"/>
    </font>
    <font>
      <b/>
      <sz val="10"/>
      <color rgb="FFFF0000"/>
      <name val="Calibri"/>
      <family val="2"/>
    </font>
    <font>
      <sz val="9"/>
      <color indexed="81"/>
      <name val="Tahoma"/>
      <family val="2"/>
    </font>
    <font>
      <b/>
      <sz val="9"/>
      <color indexed="81"/>
      <name val="Tahoma"/>
      <family val="2"/>
    </font>
    <font>
      <b/>
      <sz val="7"/>
      <color indexed="8"/>
      <name val="Calibri"/>
      <family val="2"/>
    </font>
    <font>
      <sz val="10"/>
      <name val="Calibri"/>
      <family val="2"/>
      <scheme val="minor"/>
    </font>
    <font>
      <sz val="10"/>
      <color theme="1"/>
      <name val="Calibri"/>
      <family val="2"/>
      <scheme val="minor"/>
    </font>
    <font>
      <sz val="11"/>
      <color theme="1"/>
      <name val="Calibri"/>
      <family val="2"/>
      <scheme val="minor"/>
    </font>
    <font>
      <u val="singleAccounting"/>
      <sz val="10"/>
      <name val="Calibri"/>
      <family val="2"/>
    </font>
    <font>
      <u/>
      <sz val="10"/>
      <name val="Calibri"/>
      <family val="2"/>
    </font>
    <font>
      <b/>
      <u/>
      <sz val="10"/>
      <name val="Calibri"/>
      <family val="2"/>
    </font>
    <font>
      <u/>
      <sz val="8"/>
      <name val="Calibri"/>
      <family val="2"/>
    </font>
    <font>
      <u/>
      <sz val="10"/>
      <color indexed="8"/>
      <name val="Calibri"/>
      <family val="2"/>
    </font>
  </fonts>
  <fills count="6">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theme="6" tint="0.79998168889431442"/>
        <bgColor indexed="64"/>
      </patternFill>
    </fill>
  </fills>
  <borders count="8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theme="0" tint="-0.24994659260841701"/>
      </left>
      <right style="thin">
        <color indexed="64"/>
      </right>
      <top style="medium">
        <color indexed="64"/>
      </top>
      <bottom style="medium">
        <color indexed="64"/>
      </bottom>
      <diagonal/>
    </border>
    <border>
      <left/>
      <right style="thin">
        <color theme="0" tint="-0.24994659260841701"/>
      </right>
      <top style="medium">
        <color indexed="64"/>
      </top>
      <bottom style="medium">
        <color indexed="64"/>
      </bottom>
      <diagonal/>
    </border>
    <border>
      <left style="thin">
        <color theme="0" tint="-0.24994659260841701"/>
      </left>
      <right style="thin">
        <color theme="0" tint="-0.24994659260841701"/>
      </right>
      <top style="medium">
        <color indexed="64"/>
      </top>
      <bottom style="thin">
        <color indexed="64"/>
      </bottom>
      <diagonal/>
    </border>
    <border>
      <left style="thin">
        <color theme="0" tint="-0.24994659260841701"/>
      </left>
      <right style="thin">
        <color theme="0" tint="-0.24994659260841701"/>
      </right>
      <top style="thin">
        <color indexed="64"/>
      </top>
      <bottom style="thin">
        <color indexed="64"/>
      </bottom>
      <diagonal/>
    </border>
    <border>
      <left style="thin">
        <color theme="0" tint="-0.24994659260841701"/>
      </left>
      <right style="thin">
        <color theme="0" tint="-0.24994659260841701"/>
      </right>
      <top style="thin">
        <color indexed="64"/>
      </top>
      <bottom style="medium">
        <color indexed="64"/>
      </bottom>
      <diagonal/>
    </border>
    <border>
      <left style="thin">
        <color theme="0" tint="-0.24994659260841701"/>
      </left>
      <right style="thin">
        <color theme="0" tint="-0.24994659260841701"/>
      </right>
      <top style="medium">
        <color indexed="64"/>
      </top>
      <bottom style="medium">
        <color indexed="64"/>
      </bottom>
      <diagonal/>
    </border>
    <border>
      <left style="thin">
        <color theme="0" tint="-0.24994659260841701"/>
      </left>
      <right style="thin">
        <color indexed="64"/>
      </right>
      <top style="medium">
        <color indexed="64"/>
      </top>
      <bottom style="thin">
        <color indexed="64"/>
      </bottom>
      <diagonal/>
    </border>
    <border>
      <left style="thin">
        <color theme="0" tint="-0.24994659260841701"/>
      </left>
      <right style="thin">
        <color indexed="64"/>
      </right>
      <top style="thin">
        <color indexed="64"/>
      </top>
      <bottom style="thin">
        <color indexed="64"/>
      </bottom>
      <diagonal/>
    </border>
    <border>
      <left style="thin">
        <color theme="0" tint="-0.24994659260841701"/>
      </left>
      <right style="thin">
        <color indexed="64"/>
      </right>
      <top style="thin">
        <color indexed="64"/>
      </top>
      <bottom style="medium">
        <color indexed="64"/>
      </bottom>
      <diagonal/>
    </border>
    <border>
      <left/>
      <right style="thin">
        <color theme="0" tint="-0.24994659260841701"/>
      </right>
      <top style="thin">
        <color indexed="64"/>
      </top>
      <bottom style="medium">
        <color indexed="64"/>
      </bottom>
      <diagonal/>
    </border>
    <border>
      <left/>
      <right style="thin">
        <color theme="0" tint="-0.24994659260841701"/>
      </right>
      <top style="thin">
        <color indexed="64"/>
      </top>
      <bottom style="thin">
        <color indexed="64"/>
      </bottom>
      <diagonal/>
    </border>
    <border>
      <left/>
      <right style="thin">
        <color theme="0" tint="-0.24994659260841701"/>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theme="0" tint="-0.24994659260841701"/>
      </left>
      <right/>
      <top style="thin">
        <color indexed="64"/>
      </top>
      <bottom style="medium">
        <color indexed="64"/>
      </bottom>
      <diagonal/>
    </border>
    <border>
      <left style="thin">
        <color theme="0" tint="-0.24994659260841701"/>
      </left>
      <right/>
      <top style="thin">
        <color indexed="64"/>
      </top>
      <bottom style="thin">
        <color indexed="64"/>
      </bottom>
      <diagonal/>
    </border>
    <border>
      <left style="thin">
        <color theme="0" tint="-0.24994659260841701"/>
      </left>
      <right/>
      <top style="medium">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medium">
        <color indexed="64"/>
      </right>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top/>
      <bottom style="thin">
        <color indexed="64"/>
      </bottom>
      <diagonal/>
    </border>
  </borders>
  <cellStyleXfs count="4">
    <xf numFmtId="0" fontId="0" fillId="0" borderId="0"/>
    <xf numFmtId="164" fontId="1" fillId="0" borderId="0" applyFont="0" applyFill="0" applyBorder="0" applyAlignment="0" applyProtection="0"/>
    <xf numFmtId="9" fontId="1" fillId="0" borderId="0" applyFont="0" applyFill="0" applyBorder="0" applyAlignment="0" applyProtection="0"/>
    <xf numFmtId="43" fontId="29" fillId="0" borderId="0" applyFont="0" applyFill="0" applyBorder="0" applyAlignment="0" applyProtection="0"/>
  </cellStyleXfs>
  <cellXfs count="418">
    <xf numFmtId="0" fontId="0" fillId="0" borderId="0" xfId="0"/>
    <xf numFmtId="0" fontId="3" fillId="0" borderId="0" xfId="0" applyFont="1" applyAlignment="1">
      <alignment vertical="center"/>
    </xf>
    <xf numFmtId="0" fontId="3" fillId="0" borderId="0" xfId="0" applyFont="1" applyAlignment="1">
      <alignment horizontal="center" vertical="center"/>
    </xf>
    <xf numFmtId="0" fontId="5" fillId="0" borderId="0" xfId="0" applyFont="1" applyAlignment="1">
      <alignment vertical="center"/>
    </xf>
    <xf numFmtId="0" fontId="3" fillId="0" borderId="0" xfId="0" applyFont="1" applyAlignment="1">
      <alignment horizontal="right" vertical="center"/>
    </xf>
    <xf numFmtId="0" fontId="7" fillId="0" borderId="0" xfId="0" applyFont="1" applyAlignment="1">
      <alignment horizontal="center" vertical="center"/>
    </xf>
    <xf numFmtId="0" fontId="3" fillId="0" borderId="1" xfId="0" applyFont="1" applyBorder="1" applyAlignment="1">
      <alignment vertical="center"/>
    </xf>
    <xf numFmtId="0" fontId="3" fillId="0" borderId="2" xfId="0" applyFont="1" applyBorder="1" applyAlignment="1">
      <alignment vertical="center"/>
    </xf>
    <xf numFmtId="0" fontId="4" fillId="0" borderId="2" xfId="0" applyFont="1" applyBorder="1" applyAlignment="1">
      <alignment horizontal="center" vertical="center"/>
    </xf>
    <xf numFmtId="9" fontId="4" fillId="0" borderId="2" xfId="2" applyFont="1" applyFill="1" applyBorder="1" applyAlignment="1">
      <alignment horizontal="justify" vertical="center"/>
    </xf>
    <xf numFmtId="0" fontId="4" fillId="0" borderId="2" xfId="0" applyFont="1" applyBorder="1" applyAlignment="1">
      <alignment horizontal="justify" vertical="center"/>
    </xf>
    <xf numFmtId="0" fontId="5" fillId="0" borderId="2" xfId="0" applyFont="1" applyBorder="1" applyAlignment="1">
      <alignment vertical="center"/>
    </xf>
    <xf numFmtId="0" fontId="5" fillId="0" borderId="3" xfId="0" applyFont="1" applyBorder="1" applyAlignment="1">
      <alignment vertical="center"/>
    </xf>
    <xf numFmtId="0" fontId="3" fillId="0" borderId="4" xfId="0" applyFont="1" applyBorder="1" applyAlignment="1">
      <alignment vertical="center"/>
    </xf>
    <xf numFmtId="0" fontId="5" fillId="0" borderId="5" xfId="0" applyFont="1" applyBorder="1" applyAlignment="1">
      <alignment vertical="center"/>
    </xf>
    <xf numFmtId="0" fontId="3" fillId="0" borderId="6" xfId="0" applyFont="1" applyBorder="1" applyAlignment="1">
      <alignment vertical="center"/>
    </xf>
    <xf numFmtId="0" fontId="5" fillId="0" borderId="7" xfId="0" applyFont="1" applyBorder="1" applyAlignment="1">
      <alignment vertical="center"/>
    </xf>
    <xf numFmtId="0" fontId="7" fillId="0" borderId="0" xfId="0" applyFont="1" applyAlignment="1">
      <alignment vertical="center"/>
    </xf>
    <xf numFmtId="0" fontId="5" fillId="0" borderId="0" xfId="0" applyFont="1" applyAlignment="1">
      <alignment horizontal="center" vertical="center"/>
    </xf>
    <xf numFmtId="0" fontId="8" fillId="0" borderId="0" xfId="0" applyFont="1" applyAlignment="1">
      <alignment vertical="center"/>
    </xf>
    <xf numFmtId="0" fontId="8" fillId="0" borderId="0" xfId="0" applyFont="1" applyAlignment="1">
      <alignment horizontal="right" vertical="center"/>
    </xf>
    <xf numFmtId="0" fontId="5" fillId="0" borderId="8" xfId="0" applyFont="1" applyBorder="1" applyAlignment="1">
      <alignment horizontal="center" vertical="center"/>
    </xf>
    <xf numFmtId="0" fontId="6" fillId="0" borderId="0" xfId="0" applyFont="1" applyAlignment="1">
      <alignment horizontal="center" vertical="center"/>
    </xf>
    <xf numFmtId="0" fontId="3" fillId="3" borderId="0" xfId="0" applyFont="1" applyFill="1" applyAlignment="1">
      <alignment horizontal="center" vertical="center"/>
    </xf>
    <xf numFmtId="0" fontId="6" fillId="3" borderId="0" xfId="0" applyFont="1" applyFill="1" applyAlignment="1">
      <alignment horizontal="right" vertical="center"/>
    </xf>
    <xf numFmtId="0" fontId="6" fillId="0" borderId="0" xfId="0" applyFont="1" applyAlignment="1">
      <alignment horizontal="center" vertical="center" wrapText="1"/>
    </xf>
    <xf numFmtId="0" fontId="7" fillId="0" borderId="0" xfId="0" applyFont="1" applyAlignment="1">
      <alignment horizontal="right"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4" borderId="4" xfId="0" applyFont="1" applyFill="1" applyBorder="1" applyAlignment="1">
      <alignment vertical="center"/>
    </xf>
    <xf numFmtId="0" fontId="5" fillId="4" borderId="5" xfId="0" applyFont="1" applyFill="1" applyBorder="1" applyAlignment="1">
      <alignment vertical="center"/>
    </xf>
    <xf numFmtId="0" fontId="5" fillId="4" borderId="0" xfId="0" applyFont="1" applyFill="1" applyAlignment="1">
      <alignment vertical="center"/>
    </xf>
    <xf numFmtId="0" fontId="8" fillId="4" borderId="0" xfId="0" applyFont="1" applyFill="1" applyAlignment="1">
      <alignment vertical="center"/>
    </xf>
    <xf numFmtId="0" fontId="3" fillId="4" borderId="0" xfId="0" applyFont="1" applyFill="1" applyAlignment="1">
      <alignment horizontal="left" vertical="center"/>
    </xf>
    <xf numFmtId="0" fontId="13" fillId="0" borderId="0" xfId="0" applyFont="1" applyAlignment="1">
      <alignment horizontal="center" vertical="center"/>
    </xf>
    <xf numFmtId="0" fontId="14" fillId="0" borderId="0" xfId="0" applyFont="1"/>
    <xf numFmtId="0" fontId="11" fillId="0" borderId="0" xfId="0" applyFont="1" applyAlignment="1">
      <alignment vertical="center"/>
    </xf>
    <xf numFmtId="0" fontId="5" fillId="0" borderId="13" xfId="0" applyFont="1" applyBorder="1" applyAlignment="1">
      <alignment vertical="center"/>
    </xf>
    <xf numFmtId="0" fontId="3" fillId="0" borderId="2" xfId="0" applyFont="1" applyBorder="1" applyAlignment="1">
      <alignment horizontal="left" vertical="center"/>
    </xf>
    <xf numFmtId="0" fontId="3" fillId="0" borderId="64" xfId="0" applyFont="1" applyBorder="1" applyAlignment="1">
      <alignment horizontal="center" vertical="center"/>
    </xf>
    <xf numFmtId="0" fontId="3" fillId="0" borderId="66" xfId="0" applyFont="1" applyBorder="1" applyAlignment="1">
      <alignment horizontal="center" vertical="center"/>
    </xf>
    <xf numFmtId="0" fontId="6" fillId="0" borderId="50" xfId="0" applyFont="1" applyBorder="1" applyAlignment="1">
      <alignment vertical="center"/>
    </xf>
    <xf numFmtId="0" fontId="6" fillId="0" borderId="1" xfId="0" applyFont="1" applyBorder="1" applyAlignment="1">
      <alignment vertical="center"/>
    </xf>
    <xf numFmtId="0" fontId="21" fillId="0" borderId="2" xfId="0" applyFont="1" applyBorder="1" applyAlignment="1">
      <alignment vertical="center"/>
    </xf>
    <xf numFmtId="0" fontId="21" fillId="0" borderId="3" xfId="0" applyFont="1" applyBorder="1" applyAlignment="1">
      <alignment vertical="center"/>
    </xf>
    <xf numFmtId="0" fontId="3" fillId="0" borderId="13" xfId="0" applyFont="1" applyBorder="1" applyAlignment="1">
      <alignment horizontal="left" vertical="center"/>
    </xf>
    <xf numFmtId="0" fontId="3" fillId="0" borderId="13" xfId="0" applyFont="1" applyBorder="1" applyAlignment="1">
      <alignment horizontal="center" vertical="center"/>
    </xf>
    <xf numFmtId="0" fontId="3" fillId="0" borderId="2" xfId="0" applyFont="1" applyBorder="1" applyAlignment="1">
      <alignment horizontal="center" vertical="center"/>
    </xf>
    <xf numFmtId="0" fontId="3" fillId="0" borderId="0" xfId="0" applyFont="1" applyAlignment="1">
      <alignment horizontal="left" vertical="center"/>
    </xf>
    <xf numFmtId="0" fontId="8" fillId="0" borderId="0" xfId="0" applyFont="1" applyAlignment="1">
      <alignment horizontal="center" vertical="center"/>
    </xf>
    <xf numFmtId="0" fontId="3" fillId="4" borderId="0" xfId="0" applyFont="1" applyFill="1" applyAlignment="1">
      <alignment horizontal="center" vertical="center"/>
    </xf>
    <xf numFmtId="0" fontId="8" fillId="3" borderId="0" xfId="0" applyFont="1" applyFill="1" applyAlignment="1">
      <alignment vertical="center"/>
    </xf>
    <xf numFmtId="0" fontId="3" fillId="4" borderId="0" xfId="0" applyFont="1" applyFill="1" applyAlignment="1">
      <alignment vertical="center"/>
    </xf>
    <xf numFmtId="0" fontId="6" fillId="0" borderId="74" xfId="0" applyFont="1" applyBorder="1" applyAlignment="1">
      <alignment vertical="center"/>
    </xf>
    <xf numFmtId="0" fontId="3" fillId="0" borderId="76" xfId="0" applyFont="1" applyBorder="1" applyAlignment="1">
      <alignment horizontal="center" vertical="center"/>
    </xf>
    <xf numFmtId="0" fontId="12" fillId="4" borderId="0" xfId="0" applyFont="1" applyFill="1" applyAlignment="1">
      <alignment vertical="center"/>
    </xf>
    <xf numFmtId="43" fontId="5" fillId="0" borderId="0" xfId="3" applyFont="1" applyAlignment="1">
      <alignment vertical="center"/>
    </xf>
    <xf numFmtId="43" fontId="5" fillId="0" borderId="0" xfId="0" applyNumberFormat="1" applyFont="1" applyAlignment="1">
      <alignment vertical="center"/>
    </xf>
    <xf numFmtId="0" fontId="3" fillId="0" borderId="81" xfId="0" applyFont="1" applyBorder="1" applyAlignment="1">
      <alignment horizontal="center" vertical="center"/>
    </xf>
    <xf numFmtId="0" fontId="3" fillId="5" borderId="4" xfId="0" applyFont="1" applyFill="1" applyBorder="1" applyAlignment="1">
      <alignment vertical="center"/>
    </xf>
    <xf numFmtId="0" fontId="3" fillId="5" borderId="0" xfId="0" applyFont="1" applyFill="1" applyAlignment="1">
      <alignment horizontal="left" vertical="center"/>
    </xf>
    <xf numFmtId="0" fontId="3" fillId="5" borderId="0" xfId="0" applyFont="1" applyFill="1" applyAlignment="1">
      <alignment horizontal="center" vertical="center"/>
    </xf>
    <xf numFmtId="0" fontId="5" fillId="5" borderId="5" xfId="0" applyFont="1" applyFill="1" applyBorder="1" applyAlignment="1">
      <alignment vertical="center"/>
    </xf>
    <xf numFmtId="0" fontId="5" fillId="5" borderId="0" xfId="0" applyFont="1" applyFill="1" applyAlignment="1">
      <alignment vertical="center"/>
    </xf>
    <xf numFmtId="0" fontId="3" fillId="5" borderId="0" xfId="0" applyFont="1" applyFill="1" applyAlignment="1">
      <alignment vertical="center"/>
    </xf>
    <xf numFmtId="0" fontId="10" fillId="5" borderId="0" xfId="0" applyFont="1" applyFill="1" applyAlignment="1">
      <alignment horizontal="center" vertical="center"/>
    </xf>
    <xf numFmtId="0" fontId="8" fillId="5" borderId="8" xfId="0" applyFont="1" applyFill="1" applyBorder="1" applyAlignment="1">
      <alignment vertical="center"/>
    </xf>
    <xf numFmtId="0" fontId="8" fillId="5" borderId="0" xfId="0" applyFont="1" applyFill="1" applyAlignment="1">
      <alignment vertical="center"/>
    </xf>
    <xf numFmtId="0" fontId="9" fillId="5" borderId="0" xfId="0" applyFont="1" applyFill="1" applyAlignment="1">
      <alignment horizontal="right" vertical="center"/>
    </xf>
    <xf numFmtId="0" fontId="8" fillId="5" borderId="0" xfId="0" applyFont="1" applyFill="1" applyAlignment="1">
      <alignment horizontal="center" vertical="center"/>
    </xf>
    <xf numFmtId="0" fontId="8" fillId="5" borderId="8" xfId="0" applyFont="1" applyFill="1" applyBorder="1" applyAlignment="1">
      <alignment horizontal="center"/>
    </xf>
    <xf numFmtId="0" fontId="4" fillId="5" borderId="0" xfId="0" applyFont="1" applyFill="1" applyAlignment="1">
      <alignment horizontal="center" vertical="center"/>
    </xf>
    <xf numFmtId="0" fontId="8" fillId="5" borderId="0" xfId="0" applyFont="1" applyFill="1" applyAlignment="1">
      <alignment horizontal="center"/>
    </xf>
    <xf numFmtId="0" fontId="5" fillId="5" borderId="0" xfId="0" applyFont="1" applyFill="1" applyAlignment="1">
      <alignment horizontal="center" vertical="center"/>
    </xf>
    <xf numFmtId="0" fontId="6" fillId="5" borderId="12" xfId="0" applyFont="1" applyFill="1" applyBorder="1" applyAlignment="1">
      <alignment horizontal="right" vertical="center"/>
    </xf>
    <xf numFmtId="0" fontId="6" fillId="5" borderId="53" xfId="0" applyFont="1" applyFill="1" applyBorder="1" applyAlignment="1">
      <alignment horizontal="right" vertical="center"/>
    </xf>
    <xf numFmtId="0" fontId="3" fillId="5" borderId="52" xfId="0" applyFont="1" applyFill="1" applyBorder="1" applyAlignment="1">
      <alignment horizontal="right" vertical="center"/>
    </xf>
    <xf numFmtId="0" fontId="3" fillId="5" borderId="12" xfId="0" applyFont="1" applyFill="1" applyBorder="1" applyAlignment="1">
      <alignment horizontal="right" vertical="center"/>
    </xf>
    <xf numFmtId="0" fontId="4" fillId="5" borderId="57" xfId="0" applyFont="1" applyFill="1" applyBorder="1" applyAlignment="1">
      <alignment horizontal="right" vertical="center"/>
    </xf>
    <xf numFmtId="0" fontId="6" fillId="5" borderId="74" xfId="0" applyFont="1" applyFill="1" applyBorder="1" applyAlignment="1">
      <alignment vertical="center"/>
    </xf>
    <xf numFmtId="0" fontId="3" fillId="5" borderId="9" xfId="0" applyFont="1" applyFill="1" applyBorder="1" applyAlignment="1">
      <alignment horizontal="center" vertical="center"/>
    </xf>
    <xf numFmtId="0" fontId="2" fillId="5" borderId="54" xfId="0" applyFont="1" applyFill="1" applyBorder="1" applyAlignment="1">
      <alignment vertical="center"/>
    </xf>
    <xf numFmtId="0" fontId="4" fillId="5" borderId="58" xfId="0" applyFont="1" applyFill="1" applyBorder="1" applyAlignment="1">
      <alignment vertical="center"/>
    </xf>
    <xf numFmtId="0" fontId="3" fillId="5" borderId="10" xfId="0" applyFont="1" applyFill="1" applyBorder="1" applyAlignment="1">
      <alignment horizontal="center" vertical="center"/>
    </xf>
    <xf numFmtId="0" fontId="2" fillId="5" borderId="55" xfId="0" applyFont="1" applyFill="1" applyBorder="1" applyAlignment="1">
      <alignment vertical="center"/>
    </xf>
    <xf numFmtId="0" fontId="4" fillId="5" borderId="59" xfId="0" applyFont="1" applyFill="1" applyBorder="1" applyAlignment="1">
      <alignment vertical="center"/>
    </xf>
    <xf numFmtId="0" fontId="3" fillId="5" borderId="11" xfId="0" applyFont="1" applyFill="1" applyBorder="1" applyAlignment="1">
      <alignment horizontal="center" vertical="center"/>
    </xf>
    <xf numFmtId="0" fontId="2" fillId="5" borderId="56" xfId="0" applyFont="1" applyFill="1" applyBorder="1" applyAlignment="1">
      <alignment vertical="center"/>
    </xf>
    <xf numFmtId="0" fontId="4" fillId="5" borderId="60" xfId="0" applyFont="1" applyFill="1" applyBorder="1" applyAlignment="1">
      <alignment vertical="center"/>
    </xf>
    <xf numFmtId="0" fontId="6" fillId="5" borderId="14" xfId="0" applyFont="1" applyFill="1" applyBorder="1" applyAlignment="1">
      <alignment vertical="center"/>
    </xf>
    <xf numFmtId="0" fontId="3" fillId="5" borderId="17" xfId="0" applyFont="1" applyFill="1" applyBorder="1" applyAlignment="1">
      <alignment horizontal="center" vertical="center"/>
    </xf>
    <xf numFmtId="0" fontId="3" fillId="5" borderId="15" xfId="0" applyFont="1" applyFill="1" applyBorder="1" applyAlignment="1">
      <alignment horizontal="center" vertical="center"/>
    </xf>
    <xf numFmtId="0" fontId="3" fillId="5" borderId="16" xfId="0" applyFont="1" applyFill="1" applyBorder="1" applyAlignment="1">
      <alignment horizontal="center" vertical="center"/>
    </xf>
    <xf numFmtId="0" fontId="6" fillId="5" borderId="50" xfId="0" applyFont="1" applyFill="1" applyBorder="1" applyAlignment="1">
      <alignment vertical="center"/>
    </xf>
    <xf numFmtId="43" fontId="5" fillId="5" borderId="0" xfId="3" applyFont="1" applyFill="1" applyAlignment="1">
      <alignment vertical="center"/>
    </xf>
    <xf numFmtId="0" fontId="3" fillId="5" borderId="68" xfId="0" applyFont="1" applyFill="1" applyBorder="1" applyAlignment="1">
      <alignment horizontal="center" vertical="center"/>
    </xf>
    <xf numFmtId="15" fontId="4" fillId="5" borderId="0" xfId="0" applyNumberFormat="1" applyFont="1" applyFill="1" applyAlignment="1">
      <alignment horizontal="center" vertical="center"/>
    </xf>
    <xf numFmtId="165" fontId="4" fillId="5" borderId="0" xfId="1" applyNumberFormat="1" applyFont="1" applyFill="1" applyBorder="1" applyAlignment="1">
      <alignment horizontal="center" vertical="center"/>
    </xf>
    <xf numFmtId="0" fontId="3" fillId="5" borderId="0" xfId="0" applyFont="1" applyFill="1" applyAlignment="1">
      <alignment horizontal="right" vertical="center"/>
    </xf>
    <xf numFmtId="164" fontId="3" fillId="5" borderId="0" xfId="1" applyFont="1" applyFill="1" applyBorder="1" applyAlignment="1">
      <alignment horizontal="center" vertical="center"/>
    </xf>
    <xf numFmtId="0" fontId="6" fillId="5" borderId="0" xfId="0" applyFont="1" applyFill="1" applyAlignment="1">
      <alignment horizontal="left" vertical="center"/>
    </xf>
    <xf numFmtId="0" fontId="6" fillId="5" borderId="0" xfId="0" applyFont="1" applyFill="1" applyAlignment="1">
      <alignment horizontal="right" vertical="center"/>
    </xf>
    <xf numFmtId="43" fontId="5" fillId="5" borderId="0" xfId="0" applyNumberFormat="1" applyFont="1" applyFill="1" applyAlignment="1">
      <alignment vertical="center"/>
    </xf>
    <xf numFmtId="165" fontId="5" fillId="5" borderId="0" xfId="0" applyNumberFormat="1" applyFont="1" applyFill="1" applyAlignment="1">
      <alignment vertical="center"/>
    </xf>
    <xf numFmtId="0" fontId="32" fillId="0" borderId="0" xfId="0" applyFont="1" applyAlignment="1">
      <alignment horizontal="center" vertical="center"/>
    </xf>
    <xf numFmtId="0" fontId="4" fillId="5" borderId="34" xfId="0" applyFont="1" applyFill="1" applyBorder="1" applyAlignment="1">
      <alignment horizontal="left" vertical="center"/>
    </xf>
    <xf numFmtId="0" fontId="4" fillId="5" borderId="29" xfId="0" applyFont="1" applyFill="1" applyBorder="1" applyAlignment="1">
      <alignment horizontal="left" vertical="center"/>
    </xf>
    <xf numFmtId="15" fontId="31" fillId="5" borderId="33" xfId="0" applyNumberFormat="1" applyFont="1" applyFill="1" applyBorder="1" applyAlignment="1">
      <alignment horizontal="left" vertical="center"/>
    </xf>
    <xf numFmtId="15" fontId="31" fillId="5" borderId="34" xfId="0" applyNumberFormat="1" applyFont="1" applyFill="1" applyBorder="1" applyAlignment="1">
      <alignment horizontal="left" vertical="center"/>
    </xf>
    <xf numFmtId="15" fontId="31" fillId="5" borderId="29" xfId="0" applyNumberFormat="1" applyFont="1" applyFill="1" applyBorder="1" applyAlignment="1">
      <alignment horizontal="left" vertical="center"/>
    </xf>
    <xf numFmtId="15" fontId="4" fillId="5" borderId="47" xfId="0" applyNumberFormat="1" applyFont="1" applyFill="1" applyBorder="1" applyAlignment="1">
      <alignment horizontal="left" vertical="center"/>
    </xf>
    <xf numFmtId="15" fontId="4" fillId="5" borderId="13" xfId="0" applyNumberFormat="1" applyFont="1" applyFill="1" applyBorder="1" applyAlignment="1">
      <alignment horizontal="left" vertical="center"/>
    </xf>
    <xf numFmtId="15" fontId="4" fillId="5" borderId="48" xfId="0" applyNumberFormat="1" applyFont="1" applyFill="1" applyBorder="1" applyAlignment="1">
      <alignment horizontal="left" vertical="center"/>
    </xf>
    <xf numFmtId="165" fontId="4" fillId="5" borderId="30" xfId="1" applyNumberFormat="1" applyFont="1" applyFill="1" applyBorder="1" applyAlignment="1">
      <alignment horizontal="left" vertical="center"/>
    </xf>
    <xf numFmtId="165" fontId="4" fillId="5" borderId="67" xfId="1" applyNumberFormat="1" applyFont="1" applyFill="1" applyBorder="1" applyAlignment="1">
      <alignment horizontal="left" vertical="center"/>
    </xf>
    <xf numFmtId="0" fontId="4" fillId="0" borderId="49" xfId="0" applyFont="1" applyBorder="1" applyAlignment="1">
      <alignment horizontal="center" vertical="center"/>
    </xf>
    <xf numFmtId="0" fontId="4" fillId="0" borderId="2" xfId="0" applyFont="1" applyBorder="1" applyAlignment="1">
      <alignment horizontal="center" vertical="center"/>
    </xf>
    <xf numFmtId="0" fontId="4" fillId="0" borderId="46" xfId="0" applyFont="1" applyBorder="1" applyAlignment="1">
      <alignment horizontal="center" vertical="center"/>
    </xf>
    <xf numFmtId="0" fontId="4" fillId="0" borderId="24" xfId="0" applyFont="1" applyBorder="1" applyAlignment="1">
      <alignment horizontal="center" vertical="center"/>
    </xf>
    <xf numFmtId="0" fontId="4" fillId="0" borderId="18" xfId="0" applyFont="1" applyBorder="1" applyAlignment="1">
      <alignment horizontal="center" vertical="center"/>
    </xf>
    <xf numFmtId="0" fontId="4" fillId="0" borderId="25" xfId="0" applyFont="1" applyBorder="1" applyAlignment="1">
      <alignment horizontal="center" vertical="center"/>
    </xf>
    <xf numFmtId="15" fontId="4" fillId="0" borderId="1" xfId="0" applyNumberFormat="1" applyFont="1" applyBorder="1" applyAlignment="1">
      <alignment horizontal="center" vertical="center"/>
    </xf>
    <xf numFmtId="15" fontId="4" fillId="0" borderId="2" xfId="0" applyNumberFormat="1" applyFont="1" applyBorder="1" applyAlignment="1">
      <alignment horizontal="center" vertical="center"/>
    </xf>
    <xf numFmtId="15" fontId="4" fillId="0" borderId="46" xfId="0" applyNumberFormat="1" applyFont="1" applyBorder="1" applyAlignment="1">
      <alignment horizontal="center" vertical="center"/>
    </xf>
    <xf numFmtId="15" fontId="4" fillId="0" borderId="82" xfId="0" applyNumberFormat="1" applyFont="1" applyBorder="1" applyAlignment="1">
      <alignment horizontal="center" vertical="center"/>
    </xf>
    <xf numFmtId="15" fontId="4" fillId="0" borderId="18" xfId="0" applyNumberFormat="1" applyFont="1" applyBorder="1" applyAlignment="1">
      <alignment horizontal="center" vertical="center"/>
    </xf>
    <xf numFmtId="15" fontId="4" fillId="0" borderId="25" xfId="0" applyNumberFormat="1" applyFont="1" applyBorder="1" applyAlignment="1">
      <alignment horizontal="center" vertical="center"/>
    </xf>
    <xf numFmtId="0" fontId="16" fillId="0" borderId="10" xfId="0" applyFont="1" applyBorder="1" applyAlignment="1">
      <alignment horizontal="center" vertical="top" wrapText="1"/>
    </xf>
    <xf numFmtId="0" fontId="16" fillId="0" borderId="26" xfId="0" applyFont="1" applyBorder="1" applyAlignment="1">
      <alignment horizontal="center" vertical="top" wrapText="1"/>
    </xf>
    <xf numFmtId="0" fontId="16" fillId="0" borderId="31" xfId="0" applyFont="1" applyBorder="1" applyAlignment="1">
      <alignment horizontal="center" vertical="top" wrapText="1"/>
    </xf>
    <xf numFmtId="0" fontId="17" fillId="0" borderId="8" xfId="0" applyFont="1" applyBorder="1" applyAlignment="1">
      <alignment horizontal="left" vertical="top" wrapText="1"/>
    </xf>
    <xf numFmtId="0" fontId="3" fillId="0" borderId="8" xfId="0" applyFont="1" applyBorder="1" applyAlignment="1">
      <alignment horizontal="center" vertical="center"/>
    </xf>
    <xf numFmtId="0" fontId="3" fillId="0" borderId="32" xfId="0" applyFont="1" applyBorder="1" applyAlignment="1">
      <alignment horizontal="center" vertical="center"/>
    </xf>
    <xf numFmtId="0" fontId="3" fillId="0" borderId="26"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top"/>
    </xf>
    <xf numFmtId="0" fontId="3" fillId="0" borderId="26" xfId="0" applyFont="1" applyBorder="1" applyAlignment="1">
      <alignment horizontal="center" vertical="top"/>
    </xf>
    <xf numFmtId="0" fontId="3" fillId="0" borderId="35" xfId="0" applyFont="1" applyBorder="1" applyAlignment="1">
      <alignment horizontal="center" vertical="top"/>
    </xf>
    <xf numFmtId="0" fontId="4" fillId="0" borderId="32" xfId="0" applyFont="1" applyBorder="1" applyAlignment="1">
      <alignment horizontal="center" vertical="top" wrapText="1"/>
    </xf>
    <xf numFmtId="0" fontId="4" fillId="0" borderId="26" xfId="0" applyFont="1" applyBorder="1" applyAlignment="1">
      <alignment horizontal="center" vertical="top" wrapText="1"/>
    </xf>
    <xf numFmtId="0" fontId="4" fillId="0" borderId="35" xfId="0" applyFont="1" applyBorder="1" applyAlignment="1">
      <alignment horizontal="center" vertical="top" wrapText="1"/>
    </xf>
    <xf numFmtId="165" fontId="4" fillId="0" borderId="30" xfId="1" applyNumberFormat="1" applyFont="1" applyBorder="1" applyAlignment="1">
      <alignment horizontal="center" vertical="center"/>
    </xf>
    <xf numFmtId="165" fontId="4" fillId="0" borderId="67" xfId="1" applyNumberFormat="1" applyFont="1" applyBorder="1" applyAlignment="1">
      <alignment horizontal="center" vertical="center"/>
    </xf>
    <xf numFmtId="0" fontId="3" fillId="2" borderId="0" xfId="0" applyFont="1" applyFill="1" applyAlignment="1">
      <alignment horizontal="center" vertical="center"/>
    </xf>
    <xf numFmtId="0" fontId="23" fillId="0" borderId="44" xfId="0" applyFont="1" applyBorder="1" applyAlignment="1">
      <alignment horizontal="left" vertical="top" wrapText="1"/>
    </xf>
    <xf numFmtId="0" fontId="16" fillId="0" borderId="12" xfId="0" applyFont="1" applyBorder="1" applyAlignment="1">
      <alignment horizontal="left" vertical="top" wrapText="1"/>
    </xf>
    <xf numFmtId="0" fontId="16" fillId="0" borderId="45" xfId="0" applyFont="1" applyBorder="1" applyAlignment="1">
      <alignment horizontal="left" vertical="top" wrapText="1"/>
    </xf>
    <xf numFmtId="0" fontId="3" fillId="0" borderId="27" xfId="0" applyFont="1" applyBorder="1" applyAlignment="1">
      <alignment horizontal="center" vertical="center"/>
    </xf>
    <xf numFmtId="0" fontId="3" fillId="0" borderId="41" xfId="0" applyFont="1" applyBorder="1" applyAlignment="1">
      <alignment horizontal="center" vertical="center"/>
    </xf>
    <xf numFmtId="0" fontId="3" fillId="2" borderId="0" xfId="0" applyFont="1" applyFill="1" applyAlignment="1">
      <alignment horizontal="center" vertical="center" wrapText="1"/>
    </xf>
    <xf numFmtId="0" fontId="3" fillId="0" borderId="13" xfId="0" applyFont="1" applyBorder="1" applyAlignment="1">
      <alignment horizontal="center"/>
    </xf>
    <xf numFmtId="15" fontId="4" fillId="5" borderId="28" xfId="0" applyNumberFormat="1" applyFont="1" applyFill="1" applyBorder="1" applyAlignment="1">
      <alignment horizontal="center" vertical="center"/>
    </xf>
    <xf numFmtId="0" fontId="4" fillId="5" borderId="28" xfId="0" applyFont="1" applyFill="1" applyBorder="1" applyAlignment="1">
      <alignment horizontal="center" vertical="center"/>
    </xf>
    <xf numFmtId="0" fontId="4" fillId="5" borderId="28" xfId="0" applyFont="1" applyFill="1" applyBorder="1" applyAlignment="1">
      <alignment horizontal="left" vertical="center" wrapText="1"/>
    </xf>
    <xf numFmtId="0" fontId="5" fillId="4" borderId="18" xfId="0" applyFont="1" applyFill="1" applyBorder="1" applyAlignment="1">
      <alignment horizontal="left"/>
    </xf>
    <xf numFmtId="0" fontId="5" fillId="4" borderId="26" xfId="0" applyFont="1" applyFill="1" applyBorder="1" applyAlignment="1">
      <alignment horizontal="left" vertical="center"/>
    </xf>
    <xf numFmtId="164" fontId="4" fillId="5" borderId="44" xfId="1" applyFont="1" applyFill="1" applyBorder="1" applyAlignment="1">
      <alignment horizontal="center" vertical="center"/>
    </xf>
    <xf numFmtId="164" fontId="4" fillId="5" borderId="12" xfId="1" applyFont="1" applyFill="1" applyBorder="1" applyAlignment="1">
      <alignment horizontal="center" vertical="center"/>
    </xf>
    <xf numFmtId="164" fontId="4" fillId="5" borderId="45" xfId="1" applyFont="1" applyFill="1" applyBorder="1" applyAlignment="1">
      <alignment horizontal="center" vertical="center"/>
    </xf>
    <xf numFmtId="0" fontId="3" fillId="5" borderId="27" xfId="0" applyFont="1" applyFill="1" applyBorder="1" applyAlignment="1">
      <alignment horizontal="center" vertical="center"/>
    </xf>
    <xf numFmtId="0" fontId="3" fillId="5" borderId="41" xfId="0" applyFont="1" applyFill="1" applyBorder="1" applyAlignment="1">
      <alignment horizontal="center" vertical="center"/>
    </xf>
    <xf numFmtId="0" fontId="4" fillId="5" borderId="0" xfId="0" applyFont="1" applyFill="1" applyAlignment="1">
      <alignment horizontal="center" vertical="center"/>
    </xf>
    <xf numFmtId="0" fontId="3" fillId="5" borderId="27" xfId="0" applyFont="1" applyFill="1" applyBorder="1" applyAlignment="1">
      <alignment horizontal="center" vertical="center" wrapText="1"/>
    </xf>
    <xf numFmtId="164" fontId="4" fillId="0" borderId="44" xfId="1" applyFont="1" applyFill="1" applyBorder="1" applyAlignment="1">
      <alignment horizontal="center" vertical="center"/>
    </xf>
    <xf numFmtId="164" fontId="4" fillId="0" borderId="12" xfId="1" applyFont="1" applyFill="1" applyBorder="1" applyAlignment="1">
      <alignment horizontal="center" vertical="center"/>
    </xf>
    <xf numFmtId="164" fontId="4" fillId="0" borderId="45" xfId="1" applyFont="1" applyFill="1" applyBorder="1" applyAlignment="1">
      <alignment horizontal="center" vertical="center"/>
    </xf>
    <xf numFmtId="166" fontId="4" fillId="5" borderId="44" xfId="1" applyNumberFormat="1" applyFont="1" applyFill="1" applyBorder="1" applyAlignment="1">
      <alignment horizontal="center" vertical="center" wrapText="1"/>
    </xf>
    <xf numFmtId="164" fontId="4" fillId="5" borderId="12" xfId="1" applyFont="1" applyFill="1" applyBorder="1" applyAlignment="1">
      <alignment horizontal="center" vertical="center" wrapText="1"/>
    </xf>
    <xf numFmtId="164" fontId="4" fillId="5" borderId="45" xfId="1" applyFont="1" applyFill="1" applyBorder="1" applyAlignment="1">
      <alignment horizontal="center" vertical="center" wrapText="1"/>
    </xf>
    <xf numFmtId="0" fontId="23" fillId="5" borderId="0" xfId="0" applyFont="1" applyFill="1" applyAlignment="1">
      <alignment horizontal="center" vertical="center"/>
    </xf>
    <xf numFmtId="0" fontId="23" fillId="5" borderId="44" xfId="0" applyFont="1" applyFill="1" applyBorder="1" applyAlignment="1">
      <alignment horizontal="left" vertical="top" wrapText="1"/>
    </xf>
    <xf numFmtId="0" fontId="16" fillId="5" borderId="12" xfId="0" applyFont="1" applyFill="1" applyBorder="1" applyAlignment="1">
      <alignment horizontal="left" vertical="top" wrapText="1"/>
    </xf>
    <xf numFmtId="0" fontId="16" fillId="5" borderId="45" xfId="0" applyFont="1" applyFill="1" applyBorder="1" applyAlignment="1">
      <alignment horizontal="left" vertical="top" wrapText="1"/>
    </xf>
    <xf numFmtId="165" fontId="4" fillId="5" borderId="28" xfId="1" applyNumberFormat="1" applyFont="1" applyFill="1" applyBorder="1" applyAlignment="1">
      <alignment horizontal="center" vertical="center"/>
    </xf>
    <xf numFmtId="165" fontId="4" fillId="5" borderId="69" xfId="1" applyNumberFormat="1" applyFont="1" applyFill="1" applyBorder="1" applyAlignment="1">
      <alignment horizontal="center" vertical="center"/>
    </xf>
    <xf numFmtId="0" fontId="26" fillId="3" borderId="0" xfId="0" applyFont="1" applyFill="1" applyAlignment="1">
      <alignment horizontal="center" vertical="center" wrapText="1"/>
    </xf>
    <xf numFmtId="0" fontId="4" fillId="4" borderId="28" xfId="0" applyFont="1" applyFill="1" applyBorder="1" applyAlignment="1">
      <alignment horizontal="left" vertical="center" wrapText="1"/>
    </xf>
    <xf numFmtId="0" fontId="4" fillId="4" borderId="28" xfId="0" applyFont="1" applyFill="1" applyBorder="1" applyAlignment="1">
      <alignment horizontal="center" vertical="center"/>
    </xf>
    <xf numFmtId="0" fontId="4" fillId="4" borderId="77" xfId="0" applyFont="1" applyFill="1" applyBorder="1" applyAlignment="1">
      <alignment horizontal="center" vertical="center"/>
    </xf>
    <xf numFmtId="0" fontId="4" fillId="0" borderId="8" xfId="0" applyFont="1" applyBorder="1" applyAlignment="1">
      <alignment horizontal="center" vertical="center"/>
    </xf>
    <xf numFmtId="0" fontId="3" fillId="0" borderId="13" xfId="0" applyFont="1" applyBorder="1" applyAlignment="1">
      <alignment horizontal="center" vertical="center"/>
    </xf>
    <xf numFmtId="165" fontId="4" fillId="0" borderId="8" xfId="1" applyNumberFormat="1" applyFont="1" applyBorder="1" applyAlignment="1">
      <alignment horizontal="center" vertical="center"/>
    </xf>
    <xf numFmtId="165" fontId="4" fillId="0" borderId="65" xfId="1" applyNumberFormat="1" applyFont="1" applyBorder="1" applyAlignment="1">
      <alignment horizontal="center" vertical="center"/>
    </xf>
    <xf numFmtId="165" fontId="4" fillId="4" borderId="28" xfId="1" applyNumberFormat="1" applyFont="1" applyFill="1" applyBorder="1" applyAlignment="1">
      <alignment horizontal="center" vertical="center"/>
    </xf>
    <xf numFmtId="165" fontId="4" fillId="4" borderId="69" xfId="1" applyNumberFormat="1" applyFont="1" applyFill="1" applyBorder="1" applyAlignment="1">
      <alignment horizontal="center" vertical="center"/>
    </xf>
    <xf numFmtId="164" fontId="4" fillId="0" borderId="6" xfId="1" applyFont="1" applyFill="1" applyBorder="1" applyAlignment="1">
      <alignment horizontal="center" vertical="center"/>
    </xf>
    <xf numFmtId="164" fontId="4" fillId="0" borderId="13" xfId="1" applyFont="1" applyFill="1" applyBorder="1" applyAlignment="1">
      <alignment horizontal="center" vertical="center"/>
    </xf>
    <xf numFmtId="164" fontId="4" fillId="0" borderId="7" xfId="1" applyFont="1" applyFill="1" applyBorder="1" applyAlignment="1">
      <alignment horizontal="center" vertical="center"/>
    </xf>
    <xf numFmtId="0" fontId="4" fillId="0" borderId="30" xfId="0" applyFont="1" applyBorder="1" applyAlignment="1">
      <alignment horizontal="center" vertical="center"/>
    </xf>
    <xf numFmtId="164" fontId="23" fillId="0" borderId="0" xfId="1" applyFont="1" applyBorder="1" applyAlignment="1">
      <alignment horizontal="center" vertical="center" wrapText="1"/>
    </xf>
    <xf numFmtId="15" fontId="4" fillId="4" borderId="28" xfId="0" applyNumberFormat="1" applyFont="1" applyFill="1" applyBorder="1" applyAlignment="1">
      <alignment horizontal="center" vertical="center"/>
    </xf>
    <xf numFmtId="165" fontId="4" fillId="5" borderId="32" xfId="1" applyNumberFormat="1" applyFont="1" applyFill="1" applyBorder="1" applyAlignment="1">
      <alignment horizontal="center" vertical="center"/>
    </xf>
    <xf numFmtId="165" fontId="4" fillId="5" borderId="26" xfId="1" applyNumberFormat="1" applyFont="1" applyFill="1" applyBorder="1" applyAlignment="1">
      <alignment horizontal="center" vertical="center"/>
    </xf>
    <xf numFmtId="165" fontId="4" fillId="5" borderId="35" xfId="1" applyNumberFormat="1" applyFont="1" applyFill="1" applyBorder="1" applyAlignment="1">
      <alignment horizontal="center" vertical="center"/>
    </xf>
    <xf numFmtId="0" fontId="3" fillId="0" borderId="1" xfId="0" applyFont="1" applyBorder="1" applyAlignment="1">
      <alignment horizontal="left" vertical="top"/>
    </xf>
    <xf numFmtId="0" fontId="3" fillId="0" borderId="2" xfId="0" applyFont="1" applyBorder="1" applyAlignment="1">
      <alignment horizontal="left" vertical="top"/>
    </xf>
    <xf numFmtId="0" fontId="3" fillId="0" borderId="3" xfId="0" applyFont="1" applyBorder="1" applyAlignment="1">
      <alignment horizontal="left" vertical="top"/>
    </xf>
    <xf numFmtId="0" fontId="3" fillId="0" borderId="4" xfId="0" applyFont="1" applyBorder="1" applyAlignment="1">
      <alignment horizontal="left" vertical="top"/>
    </xf>
    <xf numFmtId="0" fontId="3" fillId="0" borderId="0" xfId="0" applyFont="1" applyAlignment="1">
      <alignment horizontal="left" vertical="top"/>
    </xf>
    <xf numFmtId="0" fontId="3" fillId="0" borderId="5" xfId="0" applyFont="1" applyBorder="1" applyAlignment="1">
      <alignment horizontal="left" vertical="top"/>
    </xf>
    <xf numFmtId="0" fontId="3" fillId="0" borderId="6" xfId="0" applyFont="1" applyBorder="1" applyAlignment="1">
      <alignment horizontal="left" vertical="top"/>
    </xf>
    <xf numFmtId="0" fontId="3" fillId="0" borderId="13" xfId="0" applyFont="1" applyBorder="1" applyAlignment="1">
      <alignment horizontal="left" vertical="top"/>
    </xf>
    <xf numFmtId="0" fontId="3" fillId="0" borderId="7" xfId="0" applyFont="1" applyBorder="1" applyAlignment="1">
      <alignment horizontal="left" vertical="top"/>
    </xf>
    <xf numFmtId="0" fontId="4" fillId="5" borderId="31" xfId="0" applyFont="1" applyFill="1" applyBorder="1" applyAlignment="1">
      <alignment horizontal="center" vertical="center"/>
    </xf>
    <xf numFmtId="0" fontId="4" fillId="5" borderId="8" xfId="0" applyFont="1" applyFill="1" applyBorder="1" applyAlignment="1">
      <alignment horizontal="center" vertical="center"/>
    </xf>
    <xf numFmtId="0" fontId="16" fillId="0" borderId="1"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0" xfId="0" applyFont="1" applyAlignment="1">
      <alignment horizontal="center" vertical="center" wrapText="1"/>
    </xf>
    <xf numFmtId="0" fontId="16" fillId="0" borderId="49" xfId="0" applyFont="1" applyBorder="1" applyAlignment="1">
      <alignment horizontal="center" vertical="center" wrapText="1"/>
    </xf>
    <xf numFmtId="0" fontId="16" fillId="0" borderId="46" xfId="0" applyFont="1" applyBorder="1" applyAlignment="1">
      <alignment horizontal="center" vertical="center" wrapText="1"/>
    </xf>
    <xf numFmtId="0" fontId="16" fillId="0" borderId="24" xfId="0" applyFont="1" applyBorder="1" applyAlignment="1">
      <alignment horizontal="center" vertical="center" wrapText="1"/>
    </xf>
    <xf numFmtId="0" fontId="16" fillId="0" borderId="18" xfId="0" applyFont="1" applyBorder="1" applyAlignment="1">
      <alignment horizontal="center" vertical="center" wrapText="1"/>
    </xf>
    <xf numFmtId="0" fontId="16" fillId="0" borderId="25" xfId="0" applyFont="1" applyBorder="1" applyAlignment="1">
      <alignment horizontal="center" vertical="center" wrapText="1"/>
    </xf>
    <xf numFmtId="0" fontId="16" fillId="0" borderId="51" xfId="0" applyFont="1" applyBorder="1" applyAlignment="1">
      <alignment horizontal="center" textRotation="90" wrapText="1"/>
    </xf>
    <xf numFmtId="0" fontId="16" fillId="0" borderId="51" xfId="0" applyFont="1" applyBorder="1"/>
    <xf numFmtId="0" fontId="16" fillId="0" borderId="73" xfId="0" applyFont="1" applyBorder="1"/>
    <xf numFmtId="0" fontId="4" fillId="5" borderId="30" xfId="0" applyFont="1" applyFill="1" applyBorder="1" applyAlignment="1">
      <alignment horizontal="left" vertical="center"/>
    </xf>
    <xf numFmtId="0" fontId="4" fillId="5" borderId="31" xfId="0" applyFont="1" applyFill="1" applyBorder="1" applyAlignment="1">
      <alignment horizontal="left" vertical="center"/>
    </xf>
    <xf numFmtId="0" fontId="4" fillId="5" borderId="8" xfId="0" applyFont="1" applyFill="1" applyBorder="1" applyAlignment="1">
      <alignment horizontal="left" vertical="center"/>
    </xf>
    <xf numFmtId="0" fontId="16" fillId="0" borderId="0" xfId="0" applyFont="1" applyAlignment="1">
      <alignment horizontal="center" wrapText="1"/>
    </xf>
    <xf numFmtId="0" fontId="3" fillId="5" borderId="50" xfId="0" applyFont="1" applyFill="1" applyBorder="1" applyAlignment="1">
      <alignment horizontal="center" vertical="center"/>
    </xf>
    <xf numFmtId="15" fontId="4" fillId="5" borderId="8" xfId="0" applyNumberFormat="1" applyFont="1" applyFill="1" applyBorder="1" applyAlignment="1">
      <alignment horizontal="left" vertical="center"/>
    </xf>
    <xf numFmtId="0" fontId="2" fillId="5" borderId="32" xfId="0" applyFont="1" applyFill="1" applyBorder="1" applyAlignment="1">
      <alignment horizontal="left" vertical="center" wrapText="1"/>
    </xf>
    <xf numFmtId="0" fontId="2" fillId="5" borderId="26" xfId="0" applyFont="1" applyFill="1" applyBorder="1" applyAlignment="1">
      <alignment horizontal="left" vertical="center"/>
    </xf>
    <xf numFmtId="0" fontId="2" fillId="5" borderId="31" xfId="0" applyFont="1" applyFill="1" applyBorder="1" applyAlignment="1">
      <alignment horizontal="left" vertical="center"/>
    </xf>
    <xf numFmtId="0" fontId="4" fillId="0" borderId="8" xfId="0" applyFont="1" applyBorder="1" applyAlignment="1">
      <alignment horizontal="left" vertical="center"/>
    </xf>
    <xf numFmtId="0" fontId="4" fillId="0" borderId="30" xfId="0" applyFont="1" applyBorder="1" applyAlignment="1">
      <alignment horizontal="left" vertical="center"/>
    </xf>
    <xf numFmtId="0" fontId="4" fillId="5" borderId="25" xfId="0" applyFont="1" applyFill="1" applyBorder="1" applyAlignment="1">
      <alignment horizontal="center" vertical="center"/>
    </xf>
    <xf numFmtId="15" fontId="4" fillId="5" borderId="10" xfId="0" applyNumberFormat="1" applyFont="1" applyFill="1" applyBorder="1" applyAlignment="1">
      <alignment horizontal="left" vertical="center"/>
    </xf>
    <xf numFmtId="15" fontId="4" fillId="5" borderId="26" xfId="0" applyNumberFormat="1" applyFont="1" applyFill="1" applyBorder="1" applyAlignment="1">
      <alignment horizontal="left" vertical="center"/>
    </xf>
    <xf numFmtId="15" fontId="4" fillId="5" borderId="10" xfId="0" applyNumberFormat="1" applyFont="1" applyFill="1" applyBorder="1" applyAlignment="1">
      <alignment horizontal="center" vertical="center"/>
    </xf>
    <xf numFmtId="15" fontId="4" fillId="5" borderId="26" xfId="0" applyNumberFormat="1" applyFont="1" applyFill="1" applyBorder="1" applyAlignment="1">
      <alignment horizontal="center" vertical="center"/>
    </xf>
    <xf numFmtId="15" fontId="4" fillId="5" borderId="8" xfId="0" applyNumberFormat="1" applyFont="1" applyFill="1" applyBorder="1" applyAlignment="1">
      <alignment horizontal="center" vertical="center"/>
    </xf>
    <xf numFmtId="0" fontId="2" fillId="5" borderId="36" xfId="0" applyFont="1" applyFill="1" applyBorder="1" applyAlignment="1">
      <alignment horizontal="left" vertical="center"/>
    </xf>
    <xf numFmtId="0" fontId="2" fillId="5" borderId="37" xfId="0" applyFont="1" applyFill="1" applyBorder="1" applyAlignment="1">
      <alignment horizontal="left" vertical="center"/>
    </xf>
    <xf numFmtId="0" fontId="2" fillId="5" borderId="38" xfId="0" applyFont="1" applyFill="1" applyBorder="1" applyAlignment="1">
      <alignment horizontal="left" vertical="center"/>
    </xf>
    <xf numFmtId="0" fontId="3" fillId="5" borderId="2" xfId="0" applyFont="1" applyFill="1" applyBorder="1" applyAlignment="1">
      <alignment horizontal="center" vertical="center"/>
    </xf>
    <xf numFmtId="0" fontId="3" fillId="5" borderId="46" xfId="0" applyFont="1" applyFill="1" applyBorder="1" applyAlignment="1">
      <alignment horizontal="center" vertical="center"/>
    </xf>
    <xf numFmtId="0" fontId="3" fillId="5" borderId="42"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43" xfId="0" applyFont="1" applyFill="1" applyBorder="1" applyAlignment="1">
      <alignment horizontal="center" vertical="center"/>
    </xf>
    <xf numFmtId="165" fontId="4" fillId="0" borderId="51" xfId="1" applyNumberFormat="1" applyFont="1" applyBorder="1" applyAlignment="1">
      <alignment horizontal="center" vertical="center"/>
    </xf>
    <xf numFmtId="165" fontId="4" fillId="0" borderId="75" xfId="1" applyNumberFormat="1" applyFont="1" applyBorder="1" applyAlignment="1">
      <alignment horizontal="center" vertical="center"/>
    </xf>
    <xf numFmtId="0" fontId="4" fillId="0" borderId="51" xfId="0" applyFont="1" applyBorder="1" applyAlignment="1">
      <alignment horizontal="center" vertical="center"/>
    </xf>
    <xf numFmtId="165" fontId="4" fillId="0" borderId="6" xfId="1" applyNumberFormat="1" applyFont="1" applyBorder="1" applyAlignment="1">
      <alignment horizontal="center" vertical="center"/>
    </xf>
    <xf numFmtId="165" fontId="4" fillId="0" borderId="13" xfId="1" applyNumberFormat="1" applyFont="1" applyBorder="1" applyAlignment="1">
      <alignment horizontal="center" vertical="center"/>
    </xf>
    <xf numFmtId="165" fontId="4" fillId="0" borderId="7" xfId="1" applyNumberFormat="1" applyFont="1" applyBorder="1" applyAlignment="1">
      <alignment horizontal="center" vertical="center"/>
    </xf>
    <xf numFmtId="165" fontId="4" fillId="5" borderId="36" xfId="1" applyNumberFormat="1" applyFont="1" applyFill="1" applyBorder="1" applyAlignment="1">
      <alignment horizontal="center" vertical="center"/>
    </xf>
    <xf numFmtId="165" fontId="4" fillId="5" borderId="37" xfId="1" applyNumberFormat="1" applyFont="1" applyFill="1" applyBorder="1" applyAlignment="1">
      <alignment horizontal="center" vertical="center"/>
    </xf>
    <xf numFmtId="165" fontId="4" fillId="5" borderId="39" xfId="1" applyNumberFormat="1" applyFont="1" applyFill="1" applyBorder="1" applyAlignment="1">
      <alignment horizontal="center" vertical="center"/>
    </xf>
    <xf numFmtId="0" fontId="4" fillId="5" borderId="32" xfId="0" applyFont="1" applyFill="1" applyBorder="1" applyAlignment="1">
      <alignment horizontal="center" vertical="center"/>
    </xf>
    <xf numFmtId="0" fontId="4" fillId="5" borderId="26" xfId="0" applyFont="1" applyFill="1" applyBorder="1" applyAlignment="1">
      <alignment horizontal="center" vertical="center"/>
    </xf>
    <xf numFmtId="0" fontId="3" fillId="5" borderId="13" xfId="0" applyFont="1" applyFill="1" applyBorder="1" applyAlignment="1">
      <alignment horizontal="center" vertical="center"/>
    </xf>
    <xf numFmtId="15" fontId="4" fillId="0" borderId="31" xfId="0" applyNumberFormat="1" applyFont="1" applyBorder="1" applyAlignment="1">
      <alignment horizontal="left" vertical="center"/>
    </xf>
    <xf numFmtId="15" fontId="4" fillId="0" borderId="8" xfId="0" applyNumberFormat="1" applyFont="1" applyBorder="1" applyAlignment="1">
      <alignment horizontal="left" vertical="center"/>
    </xf>
    <xf numFmtId="0" fontId="2" fillId="5" borderId="8" xfId="0" applyFont="1" applyFill="1" applyBorder="1" applyAlignment="1">
      <alignment horizontal="right" vertical="center"/>
    </xf>
    <xf numFmtId="0" fontId="2" fillId="5" borderId="32" xfId="0" applyFont="1" applyFill="1" applyBorder="1" applyAlignment="1">
      <alignment horizontal="right" vertical="center"/>
    </xf>
    <xf numFmtId="165" fontId="4" fillId="5" borderId="8" xfId="1" applyNumberFormat="1" applyFont="1" applyFill="1" applyBorder="1" applyAlignment="1">
      <alignment horizontal="left" vertical="center"/>
    </xf>
    <xf numFmtId="165" fontId="4" fillId="5" borderId="65" xfId="1" applyNumberFormat="1" applyFont="1" applyFill="1" applyBorder="1" applyAlignment="1">
      <alignment horizontal="left" vertical="center"/>
    </xf>
    <xf numFmtId="0" fontId="2" fillId="5" borderId="62" xfId="0" applyFont="1" applyFill="1" applyBorder="1" applyAlignment="1">
      <alignment horizontal="right" vertical="center"/>
    </xf>
    <xf numFmtId="0" fontId="2" fillId="5" borderId="55" xfId="0" applyFont="1" applyFill="1" applyBorder="1" applyAlignment="1">
      <alignment horizontal="right" vertical="center"/>
    </xf>
    <xf numFmtId="0" fontId="3" fillId="0" borderId="79" xfId="0" applyFont="1" applyBorder="1" applyAlignment="1">
      <alignment horizontal="center" vertical="center"/>
    </xf>
    <xf numFmtId="0" fontId="3" fillId="0" borderId="80" xfId="0" applyFont="1" applyBorder="1" applyAlignment="1">
      <alignment horizontal="center" vertical="center"/>
    </xf>
    <xf numFmtId="15" fontId="31" fillId="5" borderId="11" xfId="0" applyNumberFormat="1" applyFont="1" applyFill="1" applyBorder="1" applyAlignment="1">
      <alignment horizontal="left" vertical="center"/>
    </xf>
    <xf numFmtId="15" fontId="4" fillId="5" borderId="32" xfId="0" applyNumberFormat="1" applyFont="1" applyFill="1" applyBorder="1" applyAlignment="1">
      <alignment horizontal="left" vertical="center"/>
    </xf>
    <xf numFmtId="15" fontId="4" fillId="5" borderId="31" xfId="0" applyNumberFormat="1" applyFont="1" applyFill="1" applyBorder="1" applyAlignment="1">
      <alignment horizontal="left" vertical="center"/>
    </xf>
    <xf numFmtId="164" fontId="17" fillId="0" borderId="18" xfId="1" applyFont="1" applyBorder="1" applyAlignment="1">
      <alignment horizontal="center" vertical="center"/>
    </xf>
    <xf numFmtId="0" fontId="3" fillId="0" borderId="2" xfId="0" applyFont="1" applyBorder="1" applyAlignment="1">
      <alignment horizontal="center" vertical="center"/>
    </xf>
    <xf numFmtId="0" fontId="3" fillId="0" borderId="46" xfId="0" applyFont="1" applyBorder="1" applyAlignment="1">
      <alignment horizontal="center" vertical="center"/>
    </xf>
    <xf numFmtId="0" fontId="4" fillId="5" borderId="26" xfId="0" applyFont="1" applyFill="1" applyBorder="1" applyAlignment="1">
      <alignment horizontal="left" vertical="center"/>
    </xf>
    <xf numFmtId="0" fontId="2" fillId="5" borderId="30" xfId="0" applyFont="1" applyFill="1" applyBorder="1" applyAlignment="1">
      <alignment horizontal="right" vertical="center"/>
    </xf>
    <xf numFmtId="0" fontId="2" fillId="5" borderId="33" xfId="0" applyFont="1" applyFill="1" applyBorder="1" applyAlignment="1">
      <alignment horizontal="right" vertical="center"/>
    </xf>
    <xf numFmtId="0" fontId="2" fillId="5" borderId="61" xfId="0" applyFont="1" applyFill="1" applyBorder="1" applyAlignment="1">
      <alignment horizontal="right" vertical="center"/>
    </xf>
    <xf numFmtId="0" fontId="2" fillId="5" borderId="56" xfId="0" applyFont="1" applyFill="1" applyBorder="1" applyAlignment="1">
      <alignment horizontal="right" vertical="center"/>
    </xf>
    <xf numFmtId="0" fontId="2" fillId="5" borderId="70" xfId="0" applyFont="1" applyFill="1" applyBorder="1" applyAlignment="1">
      <alignment horizontal="right" vertical="center"/>
    </xf>
    <xf numFmtId="0" fontId="2" fillId="5" borderId="34" xfId="0" applyFont="1" applyFill="1" applyBorder="1" applyAlignment="1">
      <alignment horizontal="right" vertical="center"/>
    </xf>
    <xf numFmtId="0" fontId="3" fillId="0" borderId="49" xfId="0" applyFont="1" applyBorder="1" applyAlignment="1">
      <alignment horizontal="center" vertical="center"/>
    </xf>
    <xf numFmtId="0" fontId="17" fillId="0" borderId="42" xfId="0" applyFont="1" applyBorder="1" applyAlignment="1">
      <alignment horizontal="center" vertical="center"/>
    </xf>
    <xf numFmtId="0" fontId="28" fillId="0" borderId="45" xfId="0" applyFont="1" applyBorder="1"/>
    <xf numFmtId="0" fontId="17" fillId="0" borderId="43" xfId="0" applyFont="1" applyBorder="1" applyAlignment="1">
      <alignment horizontal="center" vertical="center"/>
    </xf>
    <xf numFmtId="0" fontId="17" fillId="0" borderId="44" xfId="0" applyFont="1" applyBorder="1" applyAlignment="1">
      <alignment horizontal="center" vertical="center"/>
    </xf>
    <xf numFmtId="0" fontId="28" fillId="0" borderId="43" xfId="0" applyFont="1" applyBorder="1"/>
    <xf numFmtId="0" fontId="5" fillId="5" borderId="18" xfId="0" applyFont="1" applyFill="1" applyBorder="1" applyAlignment="1">
      <alignment horizontal="center" vertical="center"/>
    </xf>
    <xf numFmtId="0" fontId="5" fillId="5" borderId="78" xfId="0" applyFont="1" applyFill="1" applyBorder="1" applyAlignment="1">
      <alignment horizontal="center" vertical="center"/>
    </xf>
    <xf numFmtId="0" fontId="17" fillId="5" borderId="18" xfId="0" applyFont="1" applyFill="1" applyBorder="1" applyAlignment="1">
      <alignment horizontal="left" vertical="center"/>
    </xf>
    <xf numFmtId="0" fontId="8" fillId="5" borderId="23" xfId="0" applyFont="1" applyFill="1" applyBorder="1" applyAlignment="1">
      <alignment horizontal="left" vertical="center"/>
    </xf>
    <xf numFmtId="0" fontId="8" fillId="5" borderId="0" xfId="0" applyFont="1" applyFill="1" applyAlignment="1">
      <alignment horizontal="left" vertical="center"/>
    </xf>
    <xf numFmtId="0" fontId="4" fillId="5" borderId="18" xfId="0" applyFont="1" applyFill="1" applyBorder="1" applyAlignment="1">
      <alignment horizontal="center" vertical="center"/>
    </xf>
    <xf numFmtId="0" fontId="11" fillId="0" borderId="0" xfId="0" applyFont="1" applyAlignment="1">
      <alignment horizontal="center" vertical="center"/>
    </xf>
    <xf numFmtId="0" fontId="3" fillId="5" borderId="0" xfId="0" applyFont="1" applyFill="1" applyAlignment="1">
      <alignment horizontal="left" vertical="center"/>
    </xf>
    <xf numFmtId="3" fontId="5" fillId="5" borderId="26" xfId="0" applyNumberFormat="1" applyFont="1" applyFill="1" applyBorder="1" applyAlignment="1">
      <alignment horizontal="center" vertical="center"/>
    </xf>
    <xf numFmtId="3" fontId="5" fillId="5" borderId="35" xfId="0" applyNumberFormat="1" applyFont="1" applyFill="1" applyBorder="1" applyAlignment="1">
      <alignment horizontal="center" vertical="center"/>
    </xf>
    <xf numFmtId="0" fontId="8" fillId="5" borderId="22" xfId="0" applyFont="1" applyFill="1" applyBorder="1" applyAlignment="1">
      <alignment horizontal="center" vertical="center"/>
    </xf>
    <xf numFmtId="0" fontId="8" fillId="5" borderId="0" xfId="0" applyFont="1" applyFill="1" applyAlignment="1">
      <alignment horizontal="center" vertical="center"/>
    </xf>
    <xf numFmtId="0" fontId="31" fillId="5" borderId="18" xfId="0" applyFont="1" applyFill="1" applyBorder="1" applyAlignment="1">
      <alignment horizontal="center" vertical="center"/>
    </xf>
    <xf numFmtId="3" fontId="34" fillId="5" borderId="26" xfId="0" applyNumberFormat="1" applyFont="1" applyFill="1" applyBorder="1" applyAlignment="1">
      <alignment horizontal="center" vertical="center"/>
    </xf>
    <xf numFmtId="3" fontId="34" fillId="5" borderId="35" xfId="0" applyNumberFormat="1" applyFont="1" applyFill="1" applyBorder="1" applyAlignment="1">
      <alignment horizontal="center" vertical="center"/>
    </xf>
    <xf numFmtId="0" fontId="17" fillId="5" borderId="19" xfId="0" applyFont="1" applyFill="1" applyBorder="1" applyAlignment="1">
      <alignment horizontal="left" vertical="top" wrapText="1"/>
    </xf>
    <xf numFmtId="0" fontId="17" fillId="5" borderId="20" xfId="0" applyFont="1" applyFill="1" applyBorder="1" applyAlignment="1">
      <alignment horizontal="left" vertical="top" wrapText="1"/>
    </xf>
    <xf numFmtId="0" fontId="17" fillId="5" borderId="21" xfId="0" applyFont="1" applyFill="1" applyBorder="1" applyAlignment="1">
      <alignment horizontal="left" vertical="top" wrapText="1"/>
    </xf>
    <xf numFmtId="0" fontId="17" fillId="5" borderId="22" xfId="0" applyFont="1" applyFill="1" applyBorder="1" applyAlignment="1">
      <alignment horizontal="left" vertical="top" wrapText="1"/>
    </xf>
    <xf numFmtId="0" fontId="17" fillId="5" borderId="0" xfId="0" applyFont="1" applyFill="1" applyAlignment="1">
      <alignment horizontal="left" vertical="top" wrapText="1"/>
    </xf>
    <xf numFmtId="0" fontId="17" fillId="5" borderId="23" xfId="0" applyFont="1" applyFill="1" applyBorder="1" applyAlignment="1">
      <alignment horizontal="left" vertical="top" wrapText="1"/>
    </xf>
    <xf numFmtId="0" fontId="17" fillId="5" borderId="24" xfId="0" applyFont="1" applyFill="1" applyBorder="1" applyAlignment="1">
      <alignment horizontal="left" vertical="top" wrapText="1"/>
    </xf>
    <xf numFmtId="0" fontId="17" fillId="5" borderId="18" xfId="0" applyFont="1" applyFill="1" applyBorder="1" applyAlignment="1">
      <alignment horizontal="left" vertical="top" wrapText="1"/>
    </xf>
    <xf numFmtId="0" fontId="17" fillId="5" borderId="25" xfId="0" applyFont="1" applyFill="1" applyBorder="1" applyAlignment="1">
      <alignment horizontal="left" vertical="top" wrapText="1"/>
    </xf>
    <xf numFmtId="15" fontId="4" fillId="5" borderId="9" xfId="0" applyNumberFormat="1" applyFont="1" applyFill="1" applyBorder="1" applyAlignment="1">
      <alignment horizontal="left" vertical="center"/>
    </xf>
    <xf numFmtId="15" fontId="4" fillId="5" borderId="37" xfId="0" applyNumberFormat="1" applyFont="1" applyFill="1" applyBorder="1" applyAlignment="1">
      <alignment horizontal="left" vertical="center"/>
    </xf>
    <xf numFmtId="0" fontId="2" fillId="5" borderId="51" xfId="0" applyFont="1" applyFill="1" applyBorder="1" applyAlignment="1">
      <alignment horizontal="right" vertical="center"/>
    </xf>
    <xf numFmtId="0" fontId="2" fillId="5" borderId="36" xfId="0" applyFont="1" applyFill="1" applyBorder="1" applyAlignment="1">
      <alignment horizontal="right" vertical="center"/>
    </xf>
    <xf numFmtId="164" fontId="4" fillId="5" borderId="44" xfId="1" applyFont="1" applyFill="1" applyBorder="1" applyAlignment="1">
      <alignment horizontal="right" vertical="center"/>
    </xf>
    <xf numFmtId="164" fontId="4" fillId="5" borderId="12" xfId="1" applyFont="1" applyFill="1" applyBorder="1" applyAlignment="1">
      <alignment horizontal="right" vertical="center"/>
    </xf>
    <xf numFmtId="164" fontId="4" fillId="5" borderId="45" xfId="1" applyFont="1" applyFill="1" applyBorder="1" applyAlignment="1">
      <alignment horizontal="right" vertical="center"/>
    </xf>
    <xf numFmtId="0" fontId="4" fillId="5" borderId="42" xfId="0" applyFont="1" applyFill="1" applyBorder="1" applyAlignment="1">
      <alignment horizontal="right" vertical="center"/>
    </xf>
    <xf numFmtId="0" fontId="4" fillId="5" borderId="12" xfId="0" applyFont="1" applyFill="1" applyBorder="1" applyAlignment="1">
      <alignment horizontal="right" vertical="center"/>
    </xf>
    <xf numFmtId="14" fontId="4" fillId="5" borderId="42" xfId="0" applyNumberFormat="1" applyFont="1" applyFill="1" applyBorder="1" applyAlignment="1">
      <alignment horizontal="right" vertical="center"/>
    </xf>
    <xf numFmtId="0" fontId="4" fillId="5" borderId="43" xfId="0" applyFont="1" applyFill="1" applyBorder="1" applyAlignment="1">
      <alignment horizontal="right" vertical="center"/>
    </xf>
    <xf numFmtId="0" fontId="4" fillId="5" borderId="45" xfId="0" applyFont="1" applyFill="1" applyBorder="1" applyAlignment="1">
      <alignment horizontal="right" vertical="center"/>
    </xf>
    <xf numFmtId="0" fontId="2" fillId="5" borderId="71" xfId="0" applyFont="1" applyFill="1" applyBorder="1" applyAlignment="1">
      <alignment horizontal="right" vertical="center"/>
    </xf>
    <xf numFmtId="0" fontId="2" fillId="5" borderId="26" xfId="0" applyFont="1" applyFill="1" applyBorder="1" applyAlignment="1">
      <alignment horizontal="right" vertical="center"/>
    </xf>
    <xf numFmtId="15" fontId="31" fillId="5" borderId="36" xfId="0" applyNumberFormat="1" applyFont="1" applyFill="1" applyBorder="1" applyAlignment="1">
      <alignment horizontal="left" vertical="center"/>
    </xf>
    <xf numFmtId="15" fontId="31" fillId="5" borderId="37" xfId="0" applyNumberFormat="1" applyFont="1" applyFill="1" applyBorder="1" applyAlignment="1">
      <alignment horizontal="left" vertical="center"/>
    </xf>
    <xf numFmtId="15" fontId="31" fillId="5" borderId="38" xfId="0" applyNumberFormat="1" applyFont="1" applyFill="1" applyBorder="1" applyAlignment="1">
      <alignment horizontal="left" vertical="center"/>
    </xf>
    <xf numFmtId="0" fontId="3" fillId="5" borderId="49" xfId="0" applyFont="1" applyFill="1" applyBorder="1" applyAlignment="1">
      <alignment horizontal="center" vertical="center"/>
    </xf>
    <xf numFmtId="0" fontId="3" fillId="5" borderId="3" xfId="0" applyFont="1" applyFill="1" applyBorder="1" applyAlignment="1">
      <alignment horizontal="center" vertical="center"/>
    </xf>
    <xf numFmtId="0" fontId="2" fillId="5" borderId="63" xfId="0" applyFont="1" applyFill="1" applyBorder="1" applyAlignment="1">
      <alignment horizontal="right" vertical="center"/>
    </xf>
    <xf numFmtId="0" fontId="2" fillId="5" borderId="54" xfId="0" applyFont="1" applyFill="1" applyBorder="1" applyAlignment="1">
      <alignment horizontal="right" vertical="center"/>
    </xf>
    <xf numFmtId="0" fontId="3" fillId="5" borderId="45" xfId="0" applyFont="1" applyFill="1" applyBorder="1" applyAlignment="1">
      <alignment horizontal="center" vertical="center"/>
    </xf>
    <xf numFmtId="0" fontId="2" fillId="5" borderId="72" xfId="0" applyFont="1" applyFill="1" applyBorder="1" applyAlignment="1">
      <alignment horizontal="right" vertical="center"/>
    </xf>
    <xf numFmtId="0" fontId="2" fillId="5" borderId="37" xfId="0" applyFont="1" applyFill="1" applyBorder="1" applyAlignment="1">
      <alignment horizontal="right" vertical="center"/>
    </xf>
    <xf numFmtId="0" fontId="4" fillId="5" borderId="42" xfId="0" applyFont="1" applyFill="1" applyBorder="1" applyAlignment="1">
      <alignment horizontal="center" vertical="center"/>
    </xf>
    <xf numFmtId="0" fontId="4" fillId="5" borderId="43" xfId="0" applyFont="1" applyFill="1" applyBorder="1" applyAlignment="1">
      <alignment horizontal="center" vertical="center"/>
    </xf>
    <xf numFmtId="0" fontId="27" fillId="5" borderId="45" xfId="0" applyFont="1" applyFill="1" applyBorder="1"/>
    <xf numFmtId="0" fontId="3" fillId="5" borderId="5" xfId="0" applyFont="1" applyFill="1" applyBorder="1" applyAlignment="1">
      <alignment horizontal="left" vertical="center"/>
    </xf>
    <xf numFmtId="0" fontId="4" fillId="5" borderId="37" xfId="0" applyFont="1" applyFill="1" applyBorder="1" applyAlignment="1">
      <alignment horizontal="left" vertical="center"/>
    </xf>
    <xf numFmtId="0" fontId="4" fillId="5" borderId="38" xfId="0" applyFont="1" applyFill="1" applyBorder="1" applyAlignment="1">
      <alignment horizontal="left" vertical="center"/>
    </xf>
    <xf numFmtId="15" fontId="4" fillId="5" borderId="36" xfId="0" applyNumberFormat="1" applyFont="1" applyFill="1" applyBorder="1" applyAlignment="1">
      <alignment horizontal="left" vertical="center"/>
    </xf>
    <xf numFmtId="15" fontId="4" fillId="5" borderId="38" xfId="0" applyNumberFormat="1" applyFont="1" applyFill="1" applyBorder="1" applyAlignment="1">
      <alignment horizontal="left" vertical="center"/>
    </xf>
    <xf numFmtId="0" fontId="4" fillId="5" borderId="44" xfId="0" applyFont="1" applyFill="1" applyBorder="1" applyAlignment="1">
      <alignment horizontal="center" vertical="center"/>
    </xf>
    <xf numFmtId="0" fontId="27" fillId="5" borderId="43" xfId="0" applyFont="1" applyFill="1" applyBorder="1"/>
    <xf numFmtId="15" fontId="4" fillId="5" borderId="33" xfId="0" applyNumberFormat="1" applyFont="1" applyFill="1" applyBorder="1" applyAlignment="1">
      <alignment horizontal="left" vertical="center"/>
    </xf>
    <xf numFmtId="15" fontId="4" fillId="5" borderId="34" xfId="0" applyNumberFormat="1" applyFont="1" applyFill="1" applyBorder="1" applyAlignment="1">
      <alignment horizontal="left" vertical="center"/>
    </xf>
    <xf numFmtId="15" fontId="4" fillId="5" borderId="29" xfId="0" applyNumberFormat="1" applyFont="1" applyFill="1" applyBorder="1" applyAlignment="1">
      <alignment horizontal="left" vertical="center"/>
    </xf>
    <xf numFmtId="0" fontId="3" fillId="5" borderId="44" xfId="0" applyFont="1" applyFill="1" applyBorder="1" applyAlignment="1">
      <alignment horizontal="center" vertical="center"/>
    </xf>
    <xf numFmtId="14" fontId="4" fillId="5" borderId="44" xfId="0" applyNumberFormat="1" applyFont="1" applyFill="1" applyBorder="1" applyAlignment="1">
      <alignment horizontal="right" vertical="center"/>
    </xf>
    <xf numFmtId="165" fontId="4" fillId="5" borderId="51" xfId="1" applyNumberFormat="1" applyFont="1" applyFill="1" applyBorder="1" applyAlignment="1">
      <alignment horizontal="left" vertical="center"/>
    </xf>
    <xf numFmtId="165" fontId="4" fillId="5" borderId="75" xfId="1" applyNumberFormat="1" applyFont="1" applyFill="1" applyBorder="1" applyAlignment="1">
      <alignment horizontal="left" vertical="center"/>
    </xf>
    <xf numFmtId="0" fontId="33" fillId="5" borderId="71" xfId="0" applyFont="1" applyFill="1" applyBorder="1" applyAlignment="1">
      <alignment horizontal="right" vertical="center"/>
    </xf>
    <xf numFmtId="0" fontId="33" fillId="5" borderId="26" xfId="0" applyFont="1" applyFill="1" applyBorder="1" applyAlignment="1">
      <alignment horizontal="right" vertical="center"/>
    </xf>
    <xf numFmtId="0" fontId="33" fillId="5" borderId="62" xfId="0" applyFont="1" applyFill="1" applyBorder="1" applyAlignment="1">
      <alignment horizontal="right" vertical="center"/>
    </xf>
    <xf numFmtId="15" fontId="4" fillId="5" borderId="9" xfId="0" applyNumberFormat="1" applyFont="1" applyFill="1" applyBorder="1" applyAlignment="1">
      <alignment horizontal="center" vertical="center"/>
    </xf>
    <xf numFmtId="15" fontId="4" fillId="5" borderId="37" xfId="0" applyNumberFormat="1" applyFont="1" applyFill="1" applyBorder="1" applyAlignment="1">
      <alignment horizontal="center" vertical="center"/>
    </xf>
    <xf numFmtId="0" fontId="4" fillId="5" borderId="36" xfId="0" applyFont="1" applyFill="1" applyBorder="1" applyAlignment="1">
      <alignment horizontal="center" vertical="center"/>
    </xf>
    <xf numFmtId="0" fontId="4" fillId="5" borderId="37" xfId="0" applyFont="1" applyFill="1" applyBorder="1" applyAlignment="1">
      <alignment horizontal="center" vertical="center"/>
    </xf>
    <xf numFmtId="0" fontId="4" fillId="5" borderId="38" xfId="0" applyFont="1" applyFill="1" applyBorder="1" applyAlignment="1">
      <alignment horizontal="center" vertical="center"/>
    </xf>
    <xf numFmtId="0" fontId="2" fillId="5" borderId="33" xfId="0" applyFont="1" applyFill="1" applyBorder="1" applyAlignment="1">
      <alignment horizontal="left" vertical="center"/>
    </xf>
    <xf numFmtId="0" fontId="2" fillId="5" borderId="34" xfId="0" applyFont="1" applyFill="1" applyBorder="1" applyAlignment="1">
      <alignment horizontal="left" vertical="center"/>
    </xf>
    <xf numFmtId="0" fontId="2" fillId="5" borderId="29" xfId="0" applyFont="1" applyFill="1" applyBorder="1" applyAlignment="1">
      <alignment horizontal="left" vertical="center"/>
    </xf>
    <xf numFmtId="165" fontId="4" fillId="5" borderId="32" xfId="1" applyNumberFormat="1" applyFont="1" applyFill="1" applyBorder="1" applyAlignment="1">
      <alignment horizontal="left" vertical="center"/>
    </xf>
    <xf numFmtId="165" fontId="4" fillId="5" borderId="26" xfId="1" applyNumberFormat="1" applyFont="1" applyFill="1" applyBorder="1" applyAlignment="1">
      <alignment horizontal="left" vertical="center"/>
    </xf>
    <xf numFmtId="165" fontId="4" fillId="5" borderId="35" xfId="1" applyNumberFormat="1" applyFont="1" applyFill="1" applyBorder="1" applyAlignment="1">
      <alignment horizontal="left" vertical="center"/>
    </xf>
    <xf numFmtId="15" fontId="4" fillId="5" borderId="30" xfId="0" applyNumberFormat="1" applyFont="1" applyFill="1" applyBorder="1" applyAlignment="1">
      <alignment horizontal="left" vertical="center"/>
    </xf>
    <xf numFmtId="0" fontId="22" fillId="0" borderId="4" xfId="0" applyFont="1" applyBorder="1" applyAlignment="1">
      <alignment horizontal="center"/>
    </xf>
    <xf numFmtId="0" fontId="22" fillId="0" borderId="0" xfId="0" applyFont="1" applyAlignment="1">
      <alignment horizontal="center"/>
    </xf>
    <xf numFmtId="0" fontId="22" fillId="0" borderId="5" xfId="0" applyFont="1" applyBorder="1" applyAlignment="1">
      <alignment horizontal="center"/>
    </xf>
    <xf numFmtId="165" fontId="4" fillId="0" borderId="32" xfId="1" applyNumberFormat="1" applyFont="1" applyBorder="1" applyAlignment="1">
      <alignment horizontal="center" vertical="center"/>
    </xf>
    <xf numFmtId="165" fontId="4" fillId="0" borderId="26" xfId="1" applyNumberFormat="1" applyFont="1" applyBorder="1" applyAlignment="1">
      <alignment horizontal="center" vertical="center"/>
    </xf>
    <xf numFmtId="165" fontId="4" fillId="0" borderId="35" xfId="1" applyNumberFormat="1" applyFont="1" applyBorder="1" applyAlignment="1">
      <alignment horizontal="center" vertical="center"/>
    </xf>
    <xf numFmtId="15" fontId="4" fillId="0" borderId="29" xfId="0" applyNumberFormat="1" applyFont="1" applyBorder="1" applyAlignment="1">
      <alignment horizontal="left" vertical="center"/>
    </xf>
    <xf numFmtId="15" fontId="4" fillId="0" borderId="30" xfId="0" applyNumberFormat="1" applyFont="1" applyBorder="1" applyAlignment="1">
      <alignment horizontal="left" vertical="center"/>
    </xf>
    <xf numFmtId="15" fontId="4" fillId="0" borderId="31" xfId="0" applyNumberFormat="1" applyFont="1" applyBorder="1" applyAlignment="1">
      <alignment horizontal="center" vertical="center"/>
    </xf>
    <xf numFmtId="15" fontId="4" fillId="0" borderId="8" xfId="0" applyNumberFormat="1" applyFont="1" applyBorder="1" applyAlignment="1">
      <alignment horizontal="center" vertical="center"/>
    </xf>
    <xf numFmtId="165" fontId="4" fillId="0" borderId="44" xfId="1" applyNumberFormat="1" applyFont="1" applyBorder="1" applyAlignment="1">
      <alignment horizontal="center" vertical="center"/>
    </xf>
    <xf numFmtId="165" fontId="4" fillId="0" borderId="12" xfId="1" applyNumberFormat="1" applyFont="1" applyBorder="1" applyAlignment="1">
      <alignment horizontal="center" vertical="center"/>
    </xf>
    <xf numFmtId="165" fontId="4" fillId="0" borderId="45" xfId="1" applyNumberFormat="1" applyFont="1" applyBorder="1" applyAlignment="1">
      <alignment horizontal="center" vertical="center"/>
    </xf>
    <xf numFmtId="165" fontId="4" fillId="5" borderId="8" xfId="1" applyNumberFormat="1" applyFont="1" applyFill="1" applyBorder="1" applyAlignment="1">
      <alignment horizontal="center" vertical="center"/>
    </xf>
    <xf numFmtId="165" fontId="4" fillId="5" borderId="65" xfId="1" applyNumberFormat="1" applyFont="1" applyFill="1" applyBorder="1" applyAlignment="1">
      <alignment horizontal="center" vertical="center"/>
    </xf>
    <xf numFmtId="0" fontId="4" fillId="5" borderId="32" xfId="0" applyFont="1" applyFill="1" applyBorder="1" applyAlignment="1">
      <alignment horizontal="left" vertical="center"/>
    </xf>
    <xf numFmtId="15" fontId="4" fillId="5" borderId="11" xfId="0" applyNumberFormat="1" applyFont="1" applyFill="1" applyBorder="1" applyAlignment="1">
      <alignment horizontal="left" vertical="center"/>
    </xf>
    <xf numFmtId="0" fontId="4" fillId="5" borderId="33" xfId="0" applyFont="1" applyFill="1" applyBorder="1" applyAlignment="1">
      <alignment horizontal="left" vertical="center"/>
    </xf>
    <xf numFmtId="165" fontId="4" fillId="5" borderId="33" xfId="1" applyNumberFormat="1" applyFont="1" applyFill="1" applyBorder="1" applyAlignment="1">
      <alignment horizontal="center" vertical="center"/>
    </xf>
    <xf numFmtId="165" fontId="4" fillId="5" borderId="34" xfId="1" applyNumberFormat="1" applyFont="1" applyFill="1" applyBorder="1" applyAlignment="1">
      <alignment horizontal="center" vertical="center"/>
    </xf>
    <xf numFmtId="165" fontId="4" fillId="5" borderId="40" xfId="1" applyNumberFormat="1" applyFont="1" applyFill="1" applyBorder="1" applyAlignment="1">
      <alignment horizontal="center" vertical="center"/>
    </xf>
    <xf numFmtId="0" fontId="16" fillId="0" borderId="3" xfId="0" applyFont="1" applyBorder="1" applyAlignment="1">
      <alignment horizontal="center" vertical="center" wrapText="1"/>
    </xf>
    <xf numFmtId="0" fontId="16" fillId="0" borderId="22" xfId="0" applyFont="1" applyBorder="1" applyAlignment="1">
      <alignment horizontal="center" vertical="center" wrapText="1"/>
    </xf>
    <xf numFmtId="0" fontId="16" fillId="0" borderId="5" xfId="0" applyFont="1" applyBorder="1" applyAlignment="1">
      <alignment horizontal="center" vertical="center" wrapText="1"/>
    </xf>
    <xf numFmtId="165" fontId="30" fillId="5" borderId="33" xfId="1" applyNumberFormat="1" applyFont="1" applyFill="1" applyBorder="1" applyAlignment="1">
      <alignment horizontal="left" vertical="center"/>
    </xf>
    <xf numFmtId="165" fontId="30" fillId="5" borderId="34" xfId="1" applyNumberFormat="1" applyFont="1" applyFill="1" applyBorder="1" applyAlignment="1">
      <alignment horizontal="left" vertical="center"/>
    </xf>
    <xf numFmtId="165" fontId="30" fillId="5" borderId="40" xfId="1" applyNumberFormat="1" applyFont="1" applyFill="1" applyBorder="1" applyAlignment="1">
      <alignment horizontal="left" vertical="center"/>
    </xf>
    <xf numFmtId="0" fontId="2" fillId="5" borderId="32" xfId="0" applyFont="1" applyFill="1" applyBorder="1" applyAlignment="1">
      <alignment horizontal="left" vertical="center"/>
    </xf>
    <xf numFmtId="0" fontId="23" fillId="0" borderId="13" xfId="0" applyFont="1" applyBorder="1" applyAlignment="1">
      <alignment horizontal="center" vertical="center"/>
    </xf>
    <xf numFmtId="0" fontId="6" fillId="0" borderId="6" xfId="0" applyFont="1" applyBorder="1" applyAlignment="1">
      <alignment horizontal="justify" vertical="center" wrapText="1"/>
    </xf>
    <xf numFmtId="0" fontId="6" fillId="0" borderId="13" xfId="0" applyFont="1" applyBorder="1" applyAlignment="1">
      <alignment horizontal="justify" vertical="center" wrapText="1"/>
    </xf>
    <xf numFmtId="0" fontId="6" fillId="0" borderId="7" xfId="0" applyFont="1" applyBorder="1" applyAlignment="1">
      <alignment horizontal="justify" vertical="center" wrapText="1"/>
    </xf>
    <xf numFmtId="0" fontId="3" fillId="0" borderId="0" xfId="0" applyFont="1" applyAlignment="1">
      <alignment horizontal="center" vertical="center"/>
    </xf>
    <xf numFmtId="0" fontId="6" fillId="0" borderId="0" xfId="0" applyFont="1" applyAlignment="1">
      <alignment horizontal="justify" vertical="top" wrapText="1"/>
    </xf>
    <xf numFmtId="0" fontId="8" fillId="4" borderId="0" xfId="0" applyFont="1" applyFill="1" applyAlignment="1">
      <alignment horizontal="left" vertical="center"/>
    </xf>
    <xf numFmtId="0" fontId="4" fillId="0" borderId="13" xfId="0" applyFont="1" applyBorder="1" applyAlignment="1">
      <alignment horizontal="center" vertical="center"/>
    </xf>
    <xf numFmtId="0" fontId="4" fillId="4" borderId="32" xfId="0" applyFont="1" applyFill="1" applyBorder="1" applyAlignment="1">
      <alignment horizontal="center" vertical="center"/>
    </xf>
    <xf numFmtId="0" fontId="4" fillId="4" borderId="31" xfId="0" applyFont="1" applyFill="1" applyBorder="1" applyAlignment="1">
      <alignment horizontal="center" vertical="center"/>
    </xf>
    <xf numFmtId="0" fontId="18" fillId="0" borderId="4" xfId="0" applyFont="1" applyBorder="1" applyAlignment="1">
      <alignment horizontal="left" vertical="center" wrapText="1"/>
    </xf>
    <xf numFmtId="0" fontId="18" fillId="0" borderId="0" xfId="0" applyFont="1" applyAlignment="1">
      <alignment horizontal="left" vertical="center" wrapText="1"/>
    </xf>
    <xf numFmtId="0" fontId="18" fillId="0" borderId="5" xfId="0" applyFont="1" applyBorder="1" applyAlignment="1">
      <alignment horizontal="left" vertical="center" wrapText="1"/>
    </xf>
    <xf numFmtId="0" fontId="4" fillId="4" borderId="1" xfId="0" applyFont="1" applyFill="1" applyBorder="1" applyAlignment="1">
      <alignment horizontal="center"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4" fillId="4" borderId="5" xfId="0" applyFont="1" applyFill="1" applyBorder="1" applyAlignment="1">
      <alignment horizontal="center" vertical="center"/>
    </xf>
    <xf numFmtId="0" fontId="4" fillId="4" borderId="6" xfId="0" applyFont="1" applyFill="1" applyBorder="1" applyAlignment="1">
      <alignment horizontal="center" vertical="center"/>
    </xf>
    <xf numFmtId="0" fontId="4" fillId="4" borderId="13" xfId="0" applyFont="1" applyFill="1" applyBorder="1" applyAlignment="1">
      <alignment horizontal="center" vertical="center"/>
    </xf>
    <xf numFmtId="0" fontId="4" fillId="4" borderId="7" xfId="0" applyFont="1" applyFill="1" applyBorder="1" applyAlignment="1">
      <alignment horizontal="center" vertical="center"/>
    </xf>
    <xf numFmtId="14" fontId="4" fillId="0" borderId="18" xfId="0" applyNumberFormat="1" applyFont="1" applyBorder="1" applyAlignment="1">
      <alignment horizontal="center" vertical="center"/>
    </xf>
    <xf numFmtId="0" fontId="6" fillId="0" borderId="4" xfId="0" applyFont="1" applyBorder="1" applyAlignment="1">
      <alignment horizontal="justify" vertical="top" wrapText="1"/>
    </xf>
    <xf numFmtId="0" fontId="6" fillId="0" borderId="5" xfId="0" applyFont="1" applyBorder="1" applyAlignment="1">
      <alignment horizontal="justify" vertical="top" wrapText="1"/>
    </xf>
    <xf numFmtId="0" fontId="15" fillId="4" borderId="0" xfId="0" applyFont="1" applyFill="1" applyAlignment="1">
      <alignment horizontal="left" vertical="top"/>
    </xf>
    <xf numFmtId="0" fontId="3" fillId="0" borderId="27" xfId="0" applyFont="1" applyBorder="1" applyAlignment="1">
      <alignment horizontal="center" vertical="center" wrapText="1"/>
    </xf>
  </cellXfs>
  <cellStyles count="4">
    <cellStyle name="Millares" xfId="3" builtinId="3"/>
    <cellStyle name="Moneda" xfId="1" builtinId="4"/>
    <cellStyle name="Normal" xfId="0" builtinId="0"/>
    <cellStyle name="Porcentaje"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46</xdr:col>
      <xdr:colOff>14</xdr:colOff>
      <xdr:row>0</xdr:row>
      <xdr:rowOff>100854</xdr:rowOff>
    </xdr:from>
    <xdr:to>
      <xdr:col>46</xdr:col>
      <xdr:colOff>276239</xdr:colOff>
      <xdr:row>2</xdr:row>
      <xdr:rowOff>63314</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144014" y="100854"/>
          <a:ext cx="2762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9525</xdr:colOff>
      <xdr:row>0</xdr:row>
      <xdr:rowOff>38100</xdr:rowOff>
    </xdr:from>
    <xdr:to>
      <xdr:col>6</xdr:col>
      <xdr:colOff>643119</xdr:colOff>
      <xdr:row>3</xdr:row>
      <xdr:rowOff>123825</xdr:rowOff>
    </xdr:to>
    <xdr:pic>
      <xdr:nvPicPr>
        <xdr:cNvPr id="4" name="Imagen 3" descr="Interfaz de usuario gráfica&#10;&#10;Descripción generada automáticamente">
          <a:extLst>
            <a:ext uri="{FF2B5EF4-FFF2-40B4-BE49-F238E27FC236}">
              <a16:creationId xmlns:a16="http://schemas.microsoft.com/office/drawing/2014/main" id="{F75A2DC1-54D4-4A58-AE3C-0206365DB1A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14300" y="38100"/>
          <a:ext cx="1576569" cy="542925"/>
        </a:xfrm>
        <a:prstGeom prst="rect">
          <a:avLst/>
        </a:prstGeom>
        <a:noFill/>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BJ156"/>
  <sheetViews>
    <sheetView showGridLines="0" tabSelected="1" view="pageBreakPreview" zoomScale="119" zoomScaleNormal="100" zoomScaleSheetLayoutView="100" zoomScalePageLayoutView="70" workbookViewId="0">
      <selection activeCell="Y12" sqref="Y12"/>
    </sheetView>
  </sheetViews>
  <sheetFormatPr baseColWidth="10" defaultColWidth="2.7265625" defaultRowHeight="12.65" customHeight="1" x14ac:dyDescent="0.35"/>
  <cols>
    <col min="1" max="1" width="1.54296875" style="3" customWidth="1"/>
    <col min="2" max="2" width="3.26953125" style="3" customWidth="1"/>
    <col min="3" max="6" width="2.7265625" style="3"/>
    <col min="7" max="7" width="10.26953125" style="3" customWidth="1"/>
    <col min="8" max="21" width="2.7265625" style="3"/>
    <col min="22" max="22" width="2.7265625" style="3" customWidth="1"/>
    <col min="23" max="23" width="5.54296875" style="3" customWidth="1"/>
    <col min="24" max="29" width="2.7265625" style="3"/>
    <col min="30" max="30" width="4.1796875" style="3" customWidth="1"/>
    <col min="31" max="43" width="2.7265625" style="3"/>
    <col min="44" max="45" width="2.7265625" style="3" customWidth="1"/>
    <col min="46" max="47" width="4.7265625" style="3" customWidth="1"/>
    <col min="48" max="51" width="2.7265625" style="3"/>
    <col min="52" max="52" width="13.81640625" style="3" customWidth="1"/>
    <col min="53" max="16384" width="2.7265625" style="3"/>
  </cols>
  <sheetData>
    <row r="1" spans="1:47" ht="12.65" customHeight="1" thickBot="1" x14ac:dyDescent="0.4">
      <c r="A1" s="6"/>
      <c r="B1" s="7"/>
      <c r="C1" s="7"/>
      <c r="D1" s="7"/>
      <c r="E1" s="7"/>
      <c r="F1" s="7"/>
      <c r="G1" s="7"/>
      <c r="H1" s="7"/>
      <c r="I1" s="8"/>
      <c r="J1" s="8"/>
      <c r="K1" s="8"/>
      <c r="L1" s="8"/>
      <c r="M1" s="8"/>
      <c r="N1" s="8"/>
      <c r="O1" s="8"/>
      <c r="P1" s="8"/>
      <c r="Q1" s="8"/>
      <c r="R1" s="8"/>
      <c r="S1" s="9"/>
      <c r="T1" s="9"/>
      <c r="U1" s="9"/>
      <c r="V1" s="9"/>
      <c r="W1" s="10"/>
      <c r="X1" s="10"/>
      <c r="Y1" s="10"/>
      <c r="Z1" s="10"/>
      <c r="AA1" s="10"/>
      <c r="AB1" s="10"/>
      <c r="AC1" s="10"/>
      <c r="AD1" s="10"/>
      <c r="AE1" s="11"/>
      <c r="AF1" s="11"/>
      <c r="AG1" s="11"/>
      <c r="AH1" s="11"/>
      <c r="AI1" s="11"/>
      <c r="AJ1" s="11"/>
      <c r="AK1" s="11"/>
      <c r="AL1" s="11"/>
      <c r="AM1" s="11"/>
      <c r="AN1" s="11"/>
      <c r="AO1" s="11"/>
      <c r="AP1" s="11"/>
      <c r="AQ1" s="11"/>
      <c r="AR1" s="11"/>
      <c r="AS1" s="11"/>
      <c r="AT1" s="11"/>
      <c r="AU1" s="12"/>
    </row>
    <row r="2" spans="1:47" ht="12.65" customHeight="1" thickBot="1" x14ac:dyDescent="0.35">
      <c r="A2" s="13"/>
      <c r="B2" s="17"/>
      <c r="C2" s="17"/>
      <c r="D2" s="17"/>
      <c r="E2" s="17"/>
      <c r="F2" s="17"/>
      <c r="G2" s="17"/>
      <c r="H2" s="17"/>
      <c r="I2" s="17"/>
      <c r="J2" s="289" t="s">
        <v>56</v>
      </c>
      <c r="K2" s="289"/>
      <c r="L2" s="289"/>
      <c r="M2" s="289"/>
      <c r="N2" s="289"/>
      <c r="O2" s="289"/>
      <c r="P2" s="289"/>
      <c r="Q2" s="289"/>
      <c r="R2" s="289"/>
      <c r="S2" s="289"/>
      <c r="T2" s="289"/>
      <c r="U2" s="289"/>
      <c r="V2" s="289"/>
      <c r="W2" s="289"/>
      <c r="X2" s="289"/>
      <c r="Y2" s="289"/>
      <c r="Z2" s="289"/>
      <c r="AA2" s="289"/>
      <c r="AB2" s="289"/>
      <c r="AC2" s="289"/>
      <c r="AD2" s="289"/>
      <c r="AE2" s="289"/>
      <c r="AF2" s="289"/>
      <c r="AG2" s="289"/>
      <c r="AH2" s="289"/>
      <c r="AI2" s="289"/>
      <c r="AJ2" s="289"/>
      <c r="AK2" s="289"/>
      <c r="AL2" s="36"/>
      <c r="AM2" s="17"/>
      <c r="AN2" s="26" t="s">
        <v>43</v>
      </c>
      <c r="AO2" s="281">
        <v>16</v>
      </c>
      <c r="AP2" s="282"/>
      <c r="AQ2" s="278">
        <v>1</v>
      </c>
      <c r="AR2" s="280"/>
      <c r="AS2" s="278">
        <v>2026</v>
      </c>
      <c r="AT2" s="279"/>
      <c r="AU2" s="14"/>
    </row>
    <row r="3" spans="1:47" ht="12.65" customHeight="1" x14ac:dyDescent="0.35">
      <c r="A3" s="13"/>
      <c r="B3" s="17"/>
      <c r="C3" s="17"/>
      <c r="D3" s="17"/>
      <c r="E3" s="17"/>
      <c r="F3" s="17"/>
      <c r="G3" s="17"/>
      <c r="H3" s="17"/>
      <c r="I3" s="17"/>
      <c r="J3" s="289"/>
      <c r="K3" s="289"/>
      <c r="L3" s="289"/>
      <c r="M3" s="289"/>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17"/>
      <c r="AM3" s="17"/>
      <c r="AN3" s="26"/>
      <c r="AO3" s="34"/>
      <c r="AP3" s="35"/>
      <c r="AQ3" s="34"/>
      <c r="AR3" s="34"/>
      <c r="AS3" s="34"/>
      <c r="AT3" s="35"/>
      <c r="AU3" s="14"/>
    </row>
    <row r="4" spans="1:47" ht="12.65" customHeight="1" x14ac:dyDescent="0.35">
      <c r="A4" s="13"/>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14"/>
    </row>
    <row r="5" spans="1:47" ht="12.65" customHeight="1" x14ac:dyDescent="0.35">
      <c r="A5" s="13"/>
      <c r="B5" s="143" t="s">
        <v>0</v>
      </c>
      <c r="C5" s="143"/>
      <c r="D5" s="143"/>
      <c r="E5" s="143"/>
      <c r="F5" s="143"/>
      <c r="G5" s="143"/>
      <c r="H5" s="143"/>
      <c r="I5" s="143"/>
      <c r="J5" s="143"/>
      <c r="K5" s="143"/>
      <c r="L5" s="143"/>
      <c r="M5" s="143"/>
      <c r="N5" s="143"/>
      <c r="O5" s="143"/>
      <c r="P5" s="143"/>
      <c r="Q5" s="143"/>
      <c r="R5" s="143"/>
      <c r="S5" s="143"/>
      <c r="T5" s="143"/>
      <c r="U5" s="143"/>
      <c r="V5" s="143"/>
      <c r="W5" s="143"/>
      <c r="X5" s="143"/>
      <c r="Y5" s="143"/>
      <c r="Z5" s="143"/>
      <c r="AA5" s="143"/>
      <c r="AB5" s="143"/>
      <c r="AC5" s="143"/>
      <c r="AD5" s="143"/>
      <c r="AE5" s="143"/>
      <c r="AF5" s="143"/>
      <c r="AG5" s="143"/>
      <c r="AH5" s="143"/>
      <c r="AI5" s="143"/>
      <c r="AJ5" s="143"/>
      <c r="AK5" s="143"/>
      <c r="AL5" s="143"/>
      <c r="AM5" s="143"/>
      <c r="AN5" s="143"/>
      <c r="AO5" s="143"/>
      <c r="AP5" s="143"/>
      <c r="AQ5" s="143"/>
      <c r="AR5" s="143"/>
      <c r="AS5" s="143"/>
      <c r="AT5" s="143"/>
      <c r="AU5" s="14"/>
    </row>
    <row r="6" spans="1:47" ht="12.65" customHeight="1" x14ac:dyDescent="0.35">
      <c r="A6" s="13"/>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14"/>
    </row>
    <row r="7" spans="1:47" s="63" customFormat="1" ht="12.65" customHeight="1" x14ac:dyDescent="0.35">
      <c r="A7" s="59"/>
      <c r="B7" s="290" t="s">
        <v>57</v>
      </c>
      <c r="C7" s="290"/>
      <c r="D7" s="290"/>
      <c r="E7" s="290"/>
      <c r="F7" s="290"/>
      <c r="G7" s="290"/>
      <c r="H7" s="290"/>
      <c r="I7" s="288" t="s">
        <v>141</v>
      </c>
      <c r="J7" s="288"/>
      <c r="K7" s="288"/>
      <c r="L7" s="288"/>
      <c r="M7" s="288"/>
      <c r="N7" s="288"/>
      <c r="O7" s="288"/>
      <c r="P7" s="288"/>
      <c r="Q7" s="288"/>
      <c r="R7" s="288"/>
      <c r="S7" s="288"/>
      <c r="T7" s="288"/>
      <c r="U7" s="288"/>
      <c r="V7" s="288"/>
      <c r="W7" s="288"/>
      <c r="X7" s="288"/>
      <c r="Y7" s="288"/>
      <c r="Z7" s="288"/>
      <c r="AA7" s="288"/>
      <c r="AB7" s="288"/>
      <c r="AC7" s="61"/>
      <c r="AD7" s="290" t="s">
        <v>5</v>
      </c>
      <c r="AE7" s="290"/>
      <c r="AF7" s="290"/>
      <c r="AG7" s="290"/>
      <c r="AH7" s="290"/>
      <c r="AI7" s="290"/>
      <c r="AJ7" s="290"/>
      <c r="AK7" s="285" t="s">
        <v>142</v>
      </c>
      <c r="AL7" s="285"/>
      <c r="AM7" s="285"/>
      <c r="AN7" s="285"/>
      <c r="AO7" s="285"/>
      <c r="AP7" s="285"/>
      <c r="AQ7" s="285"/>
      <c r="AR7" s="285"/>
      <c r="AS7" s="285"/>
      <c r="AT7" s="285"/>
      <c r="AU7" s="62"/>
    </row>
    <row r="8" spans="1:47" s="63" customFormat="1" ht="12.65" customHeight="1" x14ac:dyDescent="0.35">
      <c r="A8" s="59"/>
      <c r="B8" s="290" t="s">
        <v>1</v>
      </c>
      <c r="C8" s="290"/>
      <c r="D8" s="290"/>
      <c r="E8" s="290"/>
      <c r="F8" s="290"/>
      <c r="G8" s="290"/>
      <c r="H8" s="290"/>
      <c r="I8" s="288" t="s">
        <v>102</v>
      </c>
      <c r="J8" s="288"/>
      <c r="K8" s="288"/>
      <c r="L8" s="288"/>
      <c r="M8" s="288"/>
      <c r="N8" s="288"/>
      <c r="O8" s="288"/>
      <c r="P8" s="288"/>
      <c r="Q8" s="288"/>
      <c r="R8" s="288"/>
      <c r="S8" s="288"/>
      <c r="T8" s="288"/>
      <c r="U8" s="288"/>
      <c r="V8" s="288"/>
      <c r="W8" s="288"/>
      <c r="X8" s="288"/>
      <c r="Y8" s="288"/>
      <c r="Z8" s="288"/>
      <c r="AA8" s="288"/>
      <c r="AB8" s="288"/>
      <c r="AC8" s="64"/>
      <c r="AD8" s="286" t="s">
        <v>73</v>
      </c>
      <c r="AE8" s="286"/>
      <c r="AF8" s="286"/>
      <c r="AG8" s="286"/>
      <c r="AH8" s="286"/>
      <c r="AI8" s="286"/>
      <c r="AJ8" s="287"/>
      <c r="AK8" s="283" t="s">
        <v>103</v>
      </c>
      <c r="AL8" s="283"/>
      <c r="AM8" s="283"/>
      <c r="AN8" s="283"/>
      <c r="AO8" s="283"/>
      <c r="AP8" s="283"/>
      <c r="AQ8" s="283"/>
      <c r="AR8" s="283"/>
      <c r="AS8" s="283"/>
      <c r="AT8" s="284"/>
      <c r="AU8" s="62"/>
    </row>
    <row r="9" spans="1:47" s="63" customFormat="1" ht="12.65" customHeight="1" x14ac:dyDescent="0.35">
      <c r="A9" s="59"/>
      <c r="B9" s="290" t="s">
        <v>2</v>
      </c>
      <c r="C9" s="290"/>
      <c r="D9" s="290"/>
      <c r="E9" s="290"/>
      <c r="F9" s="290"/>
      <c r="G9" s="290"/>
      <c r="H9" s="290"/>
      <c r="I9" s="288" t="s">
        <v>151</v>
      </c>
      <c r="J9" s="288"/>
      <c r="K9" s="288"/>
      <c r="L9" s="288"/>
      <c r="M9" s="288"/>
      <c r="N9" s="288"/>
      <c r="O9" s="288"/>
      <c r="P9" s="288"/>
      <c r="Q9" s="288"/>
      <c r="R9" s="288"/>
      <c r="S9" s="288"/>
      <c r="T9" s="288"/>
      <c r="U9" s="288"/>
      <c r="V9" s="288"/>
      <c r="W9" s="288"/>
      <c r="X9" s="288"/>
      <c r="Y9" s="288"/>
      <c r="Z9" s="288"/>
      <c r="AA9" s="288"/>
      <c r="AB9" s="288"/>
      <c r="AC9" s="64"/>
      <c r="AD9" s="65" t="s">
        <v>34</v>
      </c>
      <c r="AE9" s="66"/>
      <c r="AF9" s="67"/>
      <c r="AG9" s="68" t="s">
        <v>13</v>
      </c>
      <c r="AH9" s="66" t="s">
        <v>100</v>
      </c>
      <c r="AI9" s="293" t="s">
        <v>3</v>
      </c>
      <c r="AJ9" s="294"/>
      <c r="AK9" s="291">
        <v>1014015918</v>
      </c>
      <c r="AL9" s="291"/>
      <c r="AM9" s="291"/>
      <c r="AN9" s="291"/>
      <c r="AO9" s="291"/>
      <c r="AP9" s="291"/>
      <c r="AQ9" s="291"/>
      <c r="AR9" s="291"/>
      <c r="AS9" s="291"/>
      <c r="AT9" s="292"/>
      <c r="AU9" s="62"/>
    </row>
    <row r="10" spans="1:47" s="63" customFormat="1" ht="12.65" customHeight="1" x14ac:dyDescent="0.3">
      <c r="A10" s="59"/>
      <c r="B10" s="290" t="s">
        <v>4</v>
      </c>
      <c r="C10" s="290"/>
      <c r="D10" s="290"/>
      <c r="E10" s="290"/>
      <c r="F10" s="290"/>
      <c r="G10" s="290"/>
      <c r="H10" s="290"/>
      <c r="I10" s="295" t="s">
        <v>104</v>
      </c>
      <c r="J10" s="295"/>
      <c r="K10" s="295"/>
      <c r="L10" s="295"/>
      <c r="M10" s="295"/>
      <c r="N10" s="295"/>
      <c r="O10" s="295"/>
      <c r="P10" s="295"/>
      <c r="Q10" s="295"/>
      <c r="R10" s="295"/>
      <c r="S10" s="295"/>
      <c r="T10" s="295"/>
      <c r="U10" s="295"/>
      <c r="V10" s="295"/>
      <c r="W10" s="295"/>
      <c r="X10" s="295"/>
      <c r="Y10" s="295"/>
      <c r="Z10" s="295"/>
      <c r="AA10" s="295"/>
      <c r="AB10" s="295"/>
      <c r="AC10" s="64"/>
      <c r="AD10" s="67"/>
      <c r="AE10" s="67"/>
      <c r="AF10" s="67"/>
      <c r="AG10" s="68" t="s">
        <v>13</v>
      </c>
      <c r="AH10" s="70" t="s">
        <v>100</v>
      </c>
      <c r="AI10" s="293" t="s">
        <v>3</v>
      </c>
      <c r="AJ10" s="294"/>
      <c r="AK10" s="296">
        <v>94401876</v>
      </c>
      <c r="AL10" s="296"/>
      <c r="AM10" s="296"/>
      <c r="AN10" s="296"/>
      <c r="AO10" s="296"/>
      <c r="AP10" s="296"/>
      <c r="AQ10" s="296"/>
      <c r="AR10" s="296"/>
      <c r="AS10" s="296"/>
      <c r="AT10" s="297"/>
      <c r="AU10" s="62"/>
    </row>
    <row r="11" spans="1:47" s="63" customFormat="1" ht="6.75" customHeight="1" x14ac:dyDescent="0.3">
      <c r="A11" s="59"/>
      <c r="B11" s="60"/>
      <c r="C11" s="60"/>
      <c r="D11" s="60"/>
      <c r="E11" s="60"/>
      <c r="F11" s="60"/>
      <c r="G11" s="60"/>
      <c r="H11" s="60"/>
      <c r="I11" s="71"/>
      <c r="J11" s="71"/>
      <c r="K11" s="71"/>
      <c r="L11" s="71"/>
      <c r="M11" s="71"/>
      <c r="N11" s="71"/>
      <c r="O11" s="71"/>
      <c r="P11" s="71"/>
      <c r="Q11" s="71"/>
      <c r="R11" s="71"/>
      <c r="S11" s="71"/>
      <c r="T11" s="71"/>
      <c r="U11" s="71"/>
      <c r="V11" s="71"/>
      <c r="W11" s="71"/>
      <c r="X11" s="71"/>
      <c r="Y11" s="71"/>
      <c r="Z11" s="71"/>
      <c r="AA11" s="71"/>
      <c r="AB11" s="71"/>
      <c r="AC11" s="64"/>
      <c r="AD11" s="67"/>
      <c r="AE11" s="67"/>
      <c r="AF11" s="67"/>
      <c r="AG11" s="68"/>
      <c r="AH11" s="72"/>
      <c r="AI11" s="69"/>
      <c r="AJ11" s="69"/>
      <c r="AK11" s="73"/>
      <c r="AL11" s="73"/>
      <c r="AM11" s="73"/>
      <c r="AN11" s="73"/>
      <c r="AO11" s="73"/>
      <c r="AP11" s="73"/>
      <c r="AQ11" s="73"/>
      <c r="AR11" s="73"/>
      <c r="AS11" s="73"/>
      <c r="AT11" s="73"/>
      <c r="AU11" s="62"/>
    </row>
    <row r="12" spans="1:47" s="63" customFormat="1" ht="12.65" customHeight="1" x14ac:dyDescent="0.3">
      <c r="A12" s="59"/>
      <c r="B12" s="60"/>
      <c r="C12" s="60"/>
      <c r="D12" s="60"/>
      <c r="E12" s="60"/>
      <c r="F12" s="60"/>
      <c r="G12" s="60"/>
      <c r="H12" s="60"/>
      <c r="I12" s="71"/>
      <c r="J12" s="71"/>
      <c r="K12" s="71"/>
      <c r="L12" s="71"/>
      <c r="M12" s="71"/>
      <c r="N12" s="67"/>
      <c r="O12" s="67"/>
      <c r="P12" s="67"/>
      <c r="Q12" s="67"/>
      <c r="R12" s="67"/>
      <c r="S12" s="67"/>
      <c r="T12" s="67"/>
      <c r="U12" s="67"/>
      <c r="V12" s="67"/>
      <c r="W12" s="67"/>
      <c r="X12" s="67"/>
      <c r="Y12" s="67"/>
      <c r="Z12" s="67"/>
      <c r="AA12" s="67"/>
      <c r="AB12" s="67"/>
      <c r="AC12" s="67"/>
      <c r="AD12" s="67"/>
      <c r="AE12" s="67"/>
      <c r="AF12" s="67"/>
      <c r="AG12" s="68"/>
      <c r="AH12" s="72"/>
      <c r="AI12" s="69"/>
      <c r="AJ12" s="69"/>
      <c r="AK12" s="73"/>
      <c r="AL12" s="73"/>
      <c r="AM12" s="73"/>
      <c r="AN12" s="73"/>
      <c r="AO12" s="73"/>
      <c r="AP12" s="73"/>
      <c r="AQ12" s="73"/>
      <c r="AR12" s="73"/>
      <c r="AS12" s="73"/>
      <c r="AT12" s="73"/>
      <c r="AU12" s="62"/>
    </row>
    <row r="13" spans="1:47" s="63" customFormat="1" ht="12.65" customHeight="1" x14ac:dyDescent="0.35">
      <c r="A13" s="59"/>
      <c r="B13" s="290" t="s">
        <v>33</v>
      </c>
      <c r="C13" s="290"/>
      <c r="D13" s="290"/>
      <c r="E13" s="290"/>
      <c r="F13" s="290"/>
      <c r="G13" s="290"/>
      <c r="H13" s="290"/>
      <c r="I13" s="298" t="s">
        <v>105</v>
      </c>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299"/>
      <c r="AO13" s="299"/>
      <c r="AP13" s="299"/>
      <c r="AQ13" s="299"/>
      <c r="AR13" s="299"/>
      <c r="AS13" s="299"/>
      <c r="AT13" s="300"/>
      <c r="AU13" s="62"/>
    </row>
    <row r="14" spans="1:47" s="63" customFormat="1" ht="25" customHeight="1" x14ac:dyDescent="0.35">
      <c r="A14" s="59"/>
      <c r="B14" s="60"/>
      <c r="C14" s="60"/>
      <c r="D14" s="60"/>
      <c r="E14" s="60"/>
      <c r="F14" s="60"/>
      <c r="G14" s="60"/>
      <c r="H14" s="60"/>
      <c r="I14" s="301"/>
      <c r="J14" s="302"/>
      <c r="K14" s="302"/>
      <c r="L14" s="302"/>
      <c r="M14" s="302"/>
      <c r="N14" s="302"/>
      <c r="O14" s="302"/>
      <c r="P14" s="302"/>
      <c r="Q14" s="302"/>
      <c r="R14" s="302"/>
      <c r="S14" s="302"/>
      <c r="T14" s="302"/>
      <c r="U14" s="302"/>
      <c r="V14" s="302"/>
      <c r="W14" s="302"/>
      <c r="X14" s="302"/>
      <c r="Y14" s="302"/>
      <c r="Z14" s="302"/>
      <c r="AA14" s="302"/>
      <c r="AB14" s="302"/>
      <c r="AC14" s="302"/>
      <c r="AD14" s="302"/>
      <c r="AE14" s="302"/>
      <c r="AF14" s="302"/>
      <c r="AG14" s="302"/>
      <c r="AH14" s="302"/>
      <c r="AI14" s="302"/>
      <c r="AJ14" s="302"/>
      <c r="AK14" s="302"/>
      <c r="AL14" s="302"/>
      <c r="AM14" s="302"/>
      <c r="AN14" s="302"/>
      <c r="AO14" s="302"/>
      <c r="AP14" s="302"/>
      <c r="AQ14" s="302"/>
      <c r="AR14" s="302"/>
      <c r="AS14" s="302"/>
      <c r="AT14" s="303"/>
      <c r="AU14" s="62"/>
    </row>
    <row r="15" spans="1:47" s="63" customFormat="1" ht="32.5" customHeight="1" x14ac:dyDescent="0.35">
      <c r="A15" s="59"/>
      <c r="B15" s="60"/>
      <c r="C15" s="60"/>
      <c r="D15" s="60"/>
      <c r="E15" s="60"/>
      <c r="F15" s="60"/>
      <c r="G15" s="60"/>
      <c r="H15" s="60"/>
      <c r="I15" s="304"/>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5"/>
      <c r="AO15" s="305"/>
      <c r="AP15" s="305"/>
      <c r="AQ15" s="305"/>
      <c r="AR15" s="305"/>
      <c r="AS15" s="305"/>
      <c r="AT15" s="306"/>
      <c r="AU15" s="62"/>
    </row>
    <row r="16" spans="1:47" s="63" customFormat="1" ht="14.5" customHeight="1" thickBot="1" x14ac:dyDescent="0.4">
      <c r="A16" s="59"/>
      <c r="B16" s="60"/>
      <c r="C16" s="60"/>
      <c r="D16" s="60"/>
      <c r="E16" s="60"/>
      <c r="F16" s="60"/>
      <c r="G16" s="60"/>
      <c r="H16" s="60"/>
      <c r="I16" s="61"/>
      <c r="J16" s="61"/>
      <c r="K16" s="61"/>
      <c r="L16" s="61"/>
      <c r="M16" s="61"/>
      <c r="N16" s="61"/>
      <c r="O16" s="61"/>
      <c r="P16" s="61"/>
      <c r="Q16" s="61"/>
      <c r="R16" s="61"/>
      <c r="S16" s="61"/>
      <c r="T16" s="61"/>
      <c r="U16" s="61"/>
      <c r="V16" s="61"/>
      <c r="W16" s="61"/>
      <c r="X16" s="61"/>
      <c r="Y16" s="61"/>
      <c r="Z16" s="61"/>
      <c r="AA16" s="61"/>
      <c r="AB16" s="61"/>
      <c r="AC16" s="61"/>
      <c r="AD16" s="61"/>
      <c r="AE16" s="61"/>
      <c r="AF16" s="61"/>
      <c r="AG16" s="61"/>
      <c r="AH16" s="61"/>
      <c r="AI16" s="61"/>
      <c r="AJ16" s="61"/>
      <c r="AK16" s="61"/>
      <c r="AL16" s="61"/>
      <c r="AM16" s="61"/>
      <c r="AN16" s="61"/>
      <c r="AO16" s="61"/>
      <c r="AP16" s="61"/>
      <c r="AQ16" s="61"/>
      <c r="AR16" s="61"/>
      <c r="AS16" s="61"/>
      <c r="AT16" s="61"/>
      <c r="AU16" s="62"/>
    </row>
    <row r="17" spans="1:47" s="63" customFormat="1" ht="12.65" customHeight="1" thickBot="1" x14ac:dyDescent="0.35">
      <c r="A17" s="59"/>
      <c r="B17" s="290" t="s">
        <v>44</v>
      </c>
      <c r="C17" s="290"/>
      <c r="D17" s="290"/>
      <c r="E17" s="290"/>
      <c r="F17" s="290"/>
      <c r="G17" s="290"/>
      <c r="H17" s="290"/>
      <c r="I17" s="290"/>
      <c r="J17" s="290"/>
      <c r="K17" s="290"/>
      <c r="L17" s="290"/>
      <c r="M17" s="290" t="s">
        <v>45</v>
      </c>
      <c r="N17" s="290"/>
      <c r="O17" s="290"/>
      <c r="P17" s="290"/>
      <c r="Q17" s="290"/>
      <c r="R17" s="334"/>
      <c r="S17" s="339">
        <v>28</v>
      </c>
      <c r="T17" s="340"/>
      <c r="U17" s="331">
        <v>4</v>
      </c>
      <c r="V17" s="332"/>
      <c r="W17" s="331">
        <v>2025</v>
      </c>
      <c r="X17" s="333"/>
      <c r="Y17" s="61"/>
      <c r="Z17" s="290" t="s">
        <v>46</v>
      </c>
      <c r="AA17" s="290"/>
      <c r="AB17" s="290"/>
      <c r="AC17" s="290"/>
      <c r="AD17" s="334"/>
      <c r="AE17" s="339">
        <v>5</v>
      </c>
      <c r="AF17" s="340"/>
      <c r="AG17" s="331">
        <v>5</v>
      </c>
      <c r="AH17" s="332"/>
      <c r="AI17" s="331">
        <v>2028</v>
      </c>
      <c r="AJ17" s="333"/>
      <c r="AK17" s="61"/>
      <c r="AL17" s="61"/>
      <c r="AM17" s="61"/>
      <c r="AN17" s="61"/>
      <c r="AO17" s="61"/>
      <c r="AP17" s="61"/>
      <c r="AQ17" s="61"/>
      <c r="AR17" s="61"/>
      <c r="AS17" s="61"/>
      <c r="AT17" s="61"/>
      <c r="AU17" s="62"/>
    </row>
    <row r="18" spans="1:47" ht="12.65" customHeight="1" x14ac:dyDescent="0.35">
      <c r="A18" s="13"/>
      <c r="B18" s="48"/>
      <c r="C18" s="48"/>
      <c r="D18" s="48"/>
      <c r="E18" s="48"/>
      <c r="F18" s="48"/>
      <c r="G18" s="48"/>
      <c r="H18" s="48"/>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14"/>
    </row>
    <row r="19" spans="1:47" ht="12.65" customHeight="1" x14ac:dyDescent="0.35">
      <c r="A19" s="13"/>
      <c r="B19" s="48"/>
      <c r="C19" s="48"/>
      <c r="D19" s="48"/>
      <c r="E19" s="48"/>
      <c r="F19" s="48"/>
      <c r="G19" s="48"/>
      <c r="H19" s="48"/>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14"/>
    </row>
    <row r="20" spans="1:47" ht="12.65" customHeight="1" x14ac:dyDescent="0.35">
      <c r="A20" s="13"/>
      <c r="B20" s="143" t="s">
        <v>25</v>
      </c>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c r="AA20" s="143"/>
      <c r="AB20" s="143"/>
      <c r="AC20" s="143"/>
      <c r="AD20" s="143"/>
      <c r="AE20" s="143"/>
      <c r="AF20" s="143"/>
      <c r="AG20" s="143"/>
      <c r="AH20" s="143"/>
      <c r="AI20" s="143"/>
      <c r="AJ20" s="143"/>
      <c r="AK20" s="143"/>
      <c r="AL20" s="143"/>
      <c r="AM20" s="143"/>
      <c r="AN20" s="143"/>
      <c r="AO20" s="143"/>
      <c r="AP20" s="143"/>
      <c r="AQ20" s="143"/>
      <c r="AR20" s="143"/>
      <c r="AS20" s="143"/>
      <c r="AT20" s="143"/>
      <c r="AU20" s="14"/>
    </row>
    <row r="21" spans="1:47" ht="12.65" customHeight="1" x14ac:dyDescent="0.35">
      <c r="A21" s="13"/>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1"/>
      <c r="AD21" s="19"/>
      <c r="AE21" s="19"/>
      <c r="AF21" s="19"/>
      <c r="AG21" s="19"/>
      <c r="AH21" s="19"/>
      <c r="AI21" s="49"/>
      <c r="AJ21" s="49"/>
      <c r="AK21" s="18"/>
      <c r="AL21" s="18"/>
      <c r="AM21" s="18"/>
      <c r="AN21" s="18"/>
      <c r="AO21" s="18"/>
      <c r="AP21" s="18"/>
      <c r="AQ21" s="18"/>
      <c r="AR21" s="18"/>
      <c r="AS21" s="18"/>
      <c r="AT21" s="18"/>
      <c r="AU21" s="14"/>
    </row>
    <row r="22" spans="1:47" ht="12.65" customHeight="1" thickBot="1" x14ac:dyDescent="0.4">
      <c r="A22" s="13"/>
      <c r="B22" s="180" t="s">
        <v>66</v>
      </c>
      <c r="C22" s="180"/>
      <c r="D22" s="180"/>
      <c r="E22" s="180"/>
      <c r="F22" s="180"/>
      <c r="G22" s="180"/>
      <c r="H22" s="180"/>
      <c r="I22" s="180"/>
      <c r="J22" s="180"/>
      <c r="K22" s="180"/>
      <c r="L22" s="180"/>
      <c r="M22" s="180"/>
      <c r="N22" s="180"/>
      <c r="O22" s="180"/>
      <c r="P22" s="180"/>
      <c r="Q22" s="180"/>
      <c r="R22" s="180"/>
      <c r="S22" s="180"/>
      <c r="T22" s="180"/>
      <c r="U22" s="180"/>
      <c r="V22" s="180"/>
      <c r="W22" s="180"/>
      <c r="X22" s="180"/>
      <c r="Y22" s="180"/>
      <c r="Z22" s="180"/>
      <c r="AA22" s="180"/>
      <c r="AB22" s="180"/>
      <c r="AC22" s="180"/>
      <c r="AD22" s="180"/>
      <c r="AE22" s="180"/>
      <c r="AF22" s="180"/>
      <c r="AG22" s="180"/>
      <c r="AH22" s="180"/>
      <c r="AI22" s="180"/>
      <c r="AJ22" s="180"/>
      <c r="AK22" s="180"/>
      <c r="AL22" s="180"/>
      <c r="AM22" s="180"/>
      <c r="AN22" s="180"/>
      <c r="AO22" s="180"/>
      <c r="AP22" s="180"/>
      <c r="AQ22" s="180"/>
      <c r="AR22" s="180"/>
      <c r="AS22" s="180"/>
      <c r="AT22" s="180"/>
      <c r="AU22" s="14"/>
    </row>
    <row r="23" spans="1:47" s="63" customFormat="1" ht="12.65" customHeight="1" thickBot="1" x14ac:dyDescent="0.4">
      <c r="A23" s="59"/>
      <c r="B23" s="344" t="s">
        <v>67</v>
      </c>
      <c r="C23" s="240"/>
      <c r="D23" s="240"/>
      <c r="E23" s="240"/>
      <c r="F23" s="240"/>
      <c r="G23" s="241"/>
      <c r="H23" s="239" t="s">
        <v>19</v>
      </c>
      <c r="I23" s="240"/>
      <c r="J23" s="240"/>
      <c r="K23" s="240"/>
      <c r="L23" s="240"/>
      <c r="M23" s="240"/>
      <c r="N23" s="240"/>
      <c r="O23" s="240"/>
      <c r="P23" s="240"/>
      <c r="Q23" s="240"/>
      <c r="R23" s="240"/>
      <c r="S23" s="240"/>
      <c r="T23" s="240"/>
      <c r="U23" s="240"/>
      <c r="V23" s="241"/>
      <c r="W23" s="239" t="s">
        <v>24</v>
      </c>
      <c r="X23" s="240"/>
      <c r="Y23" s="240"/>
      <c r="Z23" s="240"/>
      <c r="AA23" s="240"/>
      <c r="AB23" s="241"/>
      <c r="AC23" s="239" t="s">
        <v>47</v>
      </c>
      <c r="AD23" s="240"/>
      <c r="AE23" s="240"/>
      <c r="AF23" s="240"/>
      <c r="AG23" s="241"/>
      <c r="AH23" s="239" t="s">
        <v>27</v>
      </c>
      <c r="AI23" s="240"/>
      <c r="AJ23" s="240"/>
      <c r="AK23" s="240"/>
      <c r="AL23" s="240"/>
      <c r="AM23" s="328"/>
      <c r="AN23" s="344" t="s">
        <v>11</v>
      </c>
      <c r="AO23" s="240"/>
      <c r="AP23" s="240"/>
      <c r="AQ23" s="240"/>
      <c r="AR23" s="240"/>
      <c r="AS23" s="240"/>
      <c r="AT23" s="328"/>
      <c r="AU23" s="62"/>
    </row>
    <row r="24" spans="1:47" s="63" customFormat="1" ht="12.65" customHeight="1" thickBot="1" x14ac:dyDescent="0.4">
      <c r="A24" s="59"/>
      <c r="B24" s="345">
        <v>45957</v>
      </c>
      <c r="C24" s="315"/>
      <c r="D24" s="315"/>
      <c r="E24" s="315"/>
      <c r="F24" s="315"/>
      <c r="G24" s="317"/>
      <c r="H24" s="314" t="s">
        <v>107</v>
      </c>
      <c r="I24" s="315"/>
      <c r="J24" s="315"/>
      <c r="K24" s="315"/>
      <c r="L24" s="315"/>
      <c r="M24" s="315"/>
      <c r="N24" s="315"/>
      <c r="O24" s="315"/>
      <c r="P24" s="315"/>
      <c r="Q24" s="74"/>
      <c r="R24" s="74"/>
      <c r="S24" s="74"/>
      <c r="T24" s="74"/>
      <c r="U24" s="75" t="s">
        <v>42</v>
      </c>
      <c r="V24" s="76"/>
      <c r="W24" s="316">
        <v>45961</v>
      </c>
      <c r="X24" s="315"/>
      <c r="Y24" s="315"/>
      <c r="Z24" s="315"/>
      <c r="AA24" s="315"/>
      <c r="AB24" s="317"/>
      <c r="AC24" s="77" t="s">
        <v>28</v>
      </c>
      <c r="AD24" s="78" t="s">
        <v>100</v>
      </c>
      <c r="AE24" s="77"/>
      <c r="AF24" s="77" t="s">
        <v>21</v>
      </c>
      <c r="AG24" s="78"/>
      <c r="AH24" s="316">
        <v>46387</v>
      </c>
      <c r="AI24" s="315"/>
      <c r="AJ24" s="315"/>
      <c r="AK24" s="315"/>
      <c r="AL24" s="315"/>
      <c r="AM24" s="318"/>
      <c r="AN24" s="311">
        <v>386128219</v>
      </c>
      <c r="AO24" s="312"/>
      <c r="AP24" s="312"/>
      <c r="AQ24" s="312"/>
      <c r="AR24" s="312"/>
      <c r="AS24" s="312"/>
      <c r="AT24" s="313"/>
      <c r="AU24" s="62"/>
    </row>
    <row r="25" spans="1:47" ht="35" customHeight="1" x14ac:dyDescent="0.35">
      <c r="A25" s="13"/>
      <c r="B25" s="2"/>
      <c r="C25" s="2"/>
      <c r="D25" s="2"/>
      <c r="E25" s="2"/>
      <c r="F25" s="2"/>
      <c r="G25" s="2"/>
      <c r="H25" s="2"/>
      <c r="I25" s="22"/>
      <c r="J25" s="22"/>
      <c r="K25" s="22"/>
      <c r="L25" s="22"/>
      <c r="M25" s="22"/>
      <c r="N25" s="22"/>
      <c r="O25" s="22"/>
      <c r="P25" s="22"/>
      <c r="Q25" s="22"/>
      <c r="R25" s="22"/>
      <c r="S25" s="22"/>
      <c r="T25" s="22"/>
      <c r="U25" s="22"/>
      <c r="V25" s="22"/>
      <c r="W25" s="2"/>
      <c r="X25" s="2"/>
      <c r="Y25" s="2"/>
      <c r="Z25" s="2"/>
      <c r="AA25" s="2"/>
      <c r="AB25" s="2"/>
      <c r="AC25" s="2"/>
      <c r="AD25" s="2"/>
      <c r="AE25" s="104"/>
      <c r="AF25" s="2"/>
      <c r="AG25" s="2"/>
      <c r="AH25" s="2"/>
      <c r="AI25" s="2"/>
      <c r="AJ25" s="2"/>
      <c r="AK25" s="2"/>
      <c r="AL25" s="2"/>
      <c r="AM25" s="2"/>
      <c r="AN25" s="2"/>
      <c r="AO25" s="2"/>
      <c r="AP25" s="2"/>
      <c r="AQ25" s="2"/>
      <c r="AR25" s="2"/>
      <c r="AS25" s="2"/>
      <c r="AT25" s="2"/>
      <c r="AU25" s="14"/>
    </row>
    <row r="26" spans="1:47" s="63" customFormat="1" ht="12.65" customHeight="1" thickBot="1" x14ac:dyDescent="0.4">
      <c r="A26" s="59"/>
      <c r="B26" s="253" t="s">
        <v>26</v>
      </c>
      <c r="C26" s="253"/>
      <c r="D26" s="253"/>
      <c r="E26" s="253"/>
      <c r="F26" s="253"/>
      <c r="G26" s="253"/>
      <c r="H26" s="253"/>
      <c r="I26" s="253"/>
      <c r="J26" s="253"/>
      <c r="K26" s="253"/>
      <c r="L26" s="253"/>
      <c r="M26" s="253"/>
      <c r="N26" s="253"/>
      <c r="O26" s="253"/>
      <c r="P26" s="253"/>
      <c r="Q26" s="253"/>
      <c r="R26" s="253"/>
      <c r="S26" s="253"/>
      <c r="T26" s="253"/>
      <c r="U26" s="253"/>
      <c r="V26" s="253"/>
      <c r="W26" s="253"/>
      <c r="X26" s="253"/>
      <c r="Y26" s="253"/>
      <c r="Z26" s="253"/>
      <c r="AA26" s="253"/>
      <c r="AB26" s="253"/>
      <c r="AC26" s="253"/>
      <c r="AD26" s="253"/>
      <c r="AE26" s="253"/>
      <c r="AF26" s="253"/>
      <c r="AG26" s="253"/>
      <c r="AH26" s="253"/>
      <c r="AI26" s="253"/>
      <c r="AJ26" s="253"/>
      <c r="AK26" s="253"/>
      <c r="AL26" s="253"/>
      <c r="AM26" s="253"/>
      <c r="AN26" s="253"/>
      <c r="AO26" s="253"/>
      <c r="AP26" s="253"/>
      <c r="AQ26" s="253"/>
      <c r="AR26" s="253"/>
      <c r="AS26" s="253"/>
      <c r="AT26" s="253"/>
      <c r="AU26" s="62"/>
    </row>
    <row r="27" spans="1:47" s="63" customFormat="1" ht="12.65" customHeight="1" thickBot="1" x14ac:dyDescent="0.4">
      <c r="A27" s="59"/>
      <c r="B27" s="79" t="s">
        <v>21</v>
      </c>
      <c r="C27" s="237" t="s">
        <v>67</v>
      </c>
      <c r="D27" s="237"/>
      <c r="E27" s="237"/>
      <c r="F27" s="237"/>
      <c r="G27" s="237"/>
      <c r="H27" s="238"/>
      <c r="I27" s="324" t="s">
        <v>15</v>
      </c>
      <c r="J27" s="237"/>
      <c r="K27" s="237"/>
      <c r="L27" s="237"/>
      <c r="M27" s="237"/>
      <c r="N27" s="237"/>
      <c r="O27" s="237"/>
      <c r="P27" s="237"/>
      <c r="Q27" s="237"/>
      <c r="R27" s="237"/>
      <c r="S27" s="237"/>
      <c r="T27" s="237"/>
      <c r="U27" s="237"/>
      <c r="V27" s="238"/>
      <c r="W27" s="324" t="s">
        <v>69</v>
      </c>
      <c r="X27" s="237"/>
      <c r="Y27" s="237"/>
      <c r="Z27" s="237"/>
      <c r="AA27" s="238"/>
      <c r="AB27" s="324" t="s">
        <v>24</v>
      </c>
      <c r="AC27" s="237"/>
      <c r="AD27" s="237"/>
      <c r="AE27" s="237"/>
      <c r="AF27" s="237"/>
      <c r="AG27" s="238"/>
      <c r="AH27" s="324" t="s">
        <v>20</v>
      </c>
      <c r="AI27" s="237"/>
      <c r="AJ27" s="237"/>
      <c r="AK27" s="237"/>
      <c r="AL27" s="237"/>
      <c r="AM27" s="238"/>
      <c r="AN27" s="324" t="s">
        <v>68</v>
      </c>
      <c r="AO27" s="237"/>
      <c r="AP27" s="237"/>
      <c r="AQ27" s="237"/>
      <c r="AR27" s="237"/>
      <c r="AS27" s="237"/>
      <c r="AT27" s="325"/>
      <c r="AU27" s="62"/>
    </row>
    <row r="28" spans="1:47" s="63" customFormat="1" ht="12.65" customHeight="1" x14ac:dyDescent="0.35">
      <c r="A28" s="59"/>
      <c r="B28" s="80">
        <v>1</v>
      </c>
      <c r="C28" s="307">
        <v>45988</v>
      </c>
      <c r="D28" s="308"/>
      <c r="E28" s="308"/>
      <c r="F28" s="308"/>
      <c r="G28" s="308"/>
      <c r="H28" s="308"/>
      <c r="I28" s="309" t="s">
        <v>16</v>
      </c>
      <c r="J28" s="309"/>
      <c r="K28" s="310"/>
      <c r="L28" s="81"/>
      <c r="M28" s="326" t="s">
        <v>17</v>
      </c>
      <c r="N28" s="327"/>
      <c r="O28" s="327"/>
      <c r="P28" s="327"/>
      <c r="Q28" s="81"/>
      <c r="R28" s="329" t="s">
        <v>18</v>
      </c>
      <c r="S28" s="330"/>
      <c r="T28" s="330"/>
      <c r="U28" s="326"/>
      <c r="V28" s="82" t="s">
        <v>100</v>
      </c>
      <c r="W28" s="335" t="s">
        <v>148</v>
      </c>
      <c r="X28" s="335"/>
      <c r="Y28" s="335"/>
      <c r="Z28" s="335"/>
      <c r="AA28" s="336"/>
      <c r="AB28" s="337">
        <v>46002</v>
      </c>
      <c r="AC28" s="308"/>
      <c r="AD28" s="308"/>
      <c r="AE28" s="308"/>
      <c r="AF28" s="308"/>
      <c r="AG28" s="338"/>
      <c r="AH28" s="321">
        <v>46367</v>
      </c>
      <c r="AI28" s="322"/>
      <c r="AJ28" s="322"/>
      <c r="AK28" s="322"/>
      <c r="AL28" s="322"/>
      <c r="AM28" s="323"/>
      <c r="AN28" s="346">
        <v>389000000</v>
      </c>
      <c r="AO28" s="346"/>
      <c r="AP28" s="346"/>
      <c r="AQ28" s="346"/>
      <c r="AR28" s="346"/>
      <c r="AS28" s="346"/>
      <c r="AT28" s="347"/>
      <c r="AU28" s="62"/>
    </row>
    <row r="29" spans="1:47" s="63" customFormat="1" ht="12.65" customHeight="1" x14ac:dyDescent="0.35">
      <c r="A29" s="59"/>
      <c r="B29" s="83">
        <v>2</v>
      </c>
      <c r="C29" s="229">
        <v>46323</v>
      </c>
      <c r="D29" s="230"/>
      <c r="E29" s="230"/>
      <c r="F29" s="230"/>
      <c r="G29" s="230"/>
      <c r="H29" s="230"/>
      <c r="I29" s="256" t="s">
        <v>16</v>
      </c>
      <c r="J29" s="256"/>
      <c r="K29" s="257"/>
      <c r="L29" s="84"/>
      <c r="M29" s="260" t="s">
        <v>17</v>
      </c>
      <c r="N29" s="261"/>
      <c r="O29" s="261"/>
      <c r="P29" s="261"/>
      <c r="Q29" s="84" t="s">
        <v>100</v>
      </c>
      <c r="R29" s="319" t="s">
        <v>18</v>
      </c>
      <c r="S29" s="320"/>
      <c r="T29" s="320"/>
      <c r="U29" s="260"/>
      <c r="V29" s="85"/>
      <c r="W29" s="270" t="s">
        <v>149</v>
      </c>
      <c r="X29" s="270"/>
      <c r="Y29" s="270"/>
      <c r="Z29" s="270"/>
      <c r="AA29" s="218"/>
      <c r="AB29" s="265">
        <v>46367</v>
      </c>
      <c r="AC29" s="230"/>
      <c r="AD29" s="230"/>
      <c r="AE29" s="230"/>
      <c r="AF29" s="230"/>
      <c r="AG29" s="266"/>
      <c r="AH29" s="265">
        <v>46733</v>
      </c>
      <c r="AI29" s="230"/>
      <c r="AJ29" s="230"/>
      <c r="AK29" s="230"/>
      <c r="AL29" s="230"/>
      <c r="AM29" s="266"/>
      <c r="AN29" s="258">
        <v>340999999</v>
      </c>
      <c r="AO29" s="258"/>
      <c r="AP29" s="258"/>
      <c r="AQ29" s="258"/>
      <c r="AR29" s="258"/>
      <c r="AS29" s="258"/>
      <c r="AT29" s="259"/>
      <c r="AU29" s="62"/>
    </row>
    <row r="30" spans="1:47" s="63" customFormat="1" ht="12.65" customHeight="1" x14ac:dyDescent="0.35">
      <c r="A30" s="59"/>
      <c r="B30" s="83">
        <v>3</v>
      </c>
      <c r="C30" s="229">
        <v>46353</v>
      </c>
      <c r="D30" s="230"/>
      <c r="E30" s="230"/>
      <c r="F30" s="230"/>
      <c r="G30" s="230"/>
      <c r="H30" s="230"/>
      <c r="I30" s="256" t="s">
        <v>16</v>
      </c>
      <c r="J30" s="256"/>
      <c r="K30" s="257"/>
      <c r="L30" s="84" t="s">
        <v>100</v>
      </c>
      <c r="M30" s="260" t="s">
        <v>17</v>
      </c>
      <c r="N30" s="261"/>
      <c r="O30" s="261"/>
      <c r="P30" s="261"/>
      <c r="Q30" s="84"/>
      <c r="R30" s="319" t="s">
        <v>18</v>
      </c>
      <c r="S30" s="320"/>
      <c r="T30" s="320"/>
      <c r="U30" s="260"/>
      <c r="V30" s="85"/>
      <c r="W30" s="270" t="s">
        <v>149</v>
      </c>
      <c r="X30" s="270"/>
      <c r="Y30" s="270"/>
      <c r="Z30" s="270"/>
      <c r="AA30" s="218"/>
      <c r="AB30" s="265">
        <v>46338</v>
      </c>
      <c r="AC30" s="230"/>
      <c r="AD30" s="230"/>
      <c r="AE30" s="230"/>
      <c r="AF30" s="230"/>
      <c r="AG30" s="266"/>
      <c r="AH30" s="265">
        <v>46885</v>
      </c>
      <c r="AI30" s="230"/>
      <c r="AJ30" s="230"/>
      <c r="AK30" s="230"/>
      <c r="AL30" s="230"/>
      <c r="AM30" s="266"/>
      <c r="AN30" s="258">
        <v>390000544</v>
      </c>
      <c r="AO30" s="258"/>
      <c r="AP30" s="258"/>
      <c r="AQ30" s="258"/>
      <c r="AR30" s="258"/>
      <c r="AS30" s="258"/>
      <c r="AT30" s="259"/>
      <c r="AU30" s="62"/>
    </row>
    <row r="31" spans="1:47" s="63" customFormat="1" ht="12.65" customHeight="1" x14ac:dyDescent="0.35">
      <c r="A31" s="59"/>
      <c r="B31" s="83">
        <v>4</v>
      </c>
      <c r="C31" s="229">
        <v>46050</v>
      </c>
      <c r="D31" s="230"/>
      <c r="E31" s="230"/>
      <c r="F31" s="230"/>
      <c r="G31" s="230"/>
      <c r="H31" s="230"/>
      <c r="I31" s="256" t="s">
        <v>16</v>
      </c>
      <c r="J31" s="256"/>
      <c r="K31" s="257"/>
      <c r="L31" s="84" t="s">
        <v>100</v>
      </c>
      <c r="M31" s="260" t="s">
        <v>17</v>
      </c>
      <c r="N31" s="261"/>
      <c r="O31" s="261"/>
      <c r="P31" s="261"/>
      <c r="Q31" s="84"/>
      <c r="R31" s="348" t="s">
        <v>18</v>
      </c>
      <c r="S31" s="349"/>
      <c r="T31" s="349"/>
      <c r="U31" s="350"/>
      <c r="V31" s="85"/>
      <c r="W31" s="270" t="s">
        <v>150</v>
      </c>
      <c r="X31" s="270"/>
      <c r="Y31" s="270"/>
      <c r="Z31" s="270"/>
      <c r="AA31" s="218"/>
      <c r="AB31" s="265">
        <v>46055</v>
      </c>
      <c r="AC31" s="230"/>
      <c r="AD31" s="230"/>
      <c r="AE31" s="230"/>
      <c r="AF31" s="230"/>
      <c r="AG31" s="266"/>
      <c r="AH31" s="265">
        <v>46875</v>
      </c>
      <c r="AI31" s="230"/>
      <c r="AJ31" s="230"/>
      <c r="AK31" s="230"/>
      <c r="AL31" s="230"/>
      <c r="AM31" s="266"/>
      <c r="AN31" s="258">
        <v>400000000</v>
      </c>
      <c r="AO31" s="258"/>
      <c r="AP31" s="258"/>
      <c r="AQ31" s="258"/>
      <c r="AR31" s="258"/>
      <c r="AS31" s="258"/>
      <c r="AT31" s="259"/>
      <c r="AU31" s="62"/>
    </row>
    <row r="32" spans="1:47" s="63" customFormat="1" ht="12.65" customHeight="1" thickBot="1" x14ac:dyDescent="0.4">
      <c r="A32" s="59"/>
      <c r="B32" s="86">
        <v>5</v>
      </c>
      <c r="C32" s="264"/>
      <c r="D32" s="108"/>
      <c r="E32" s="108"/>
      <c r="F32" s="108"/>
      <c r="G32" s="108"/>
      <c r="H32" s="108"/>
      <c r="I32" s="271" t="s">
        <v>16</v>
      </c>
      <c r="J32" s="271"/>
      <c r="K32" s="272"/>
      <c r="L32" s="87"/>
      <c r="M32" s="273" t="s">
        <v>17</v>
      </c>
      <c r="N32" s="274"/>
      <c r="O32" s="274"/>
      <c r="P32" s="274"/>
      <c r="Q32" s="87"/>
      <c r="R32" s="275" t="s">
        <v>18</v>
      </c>
      <c r="S32" s="276"/>
      <c r="T32" s="276"/>
      <c r="U32" s="273"/>
      <c r="V32" s="88"/>
      <c r="W32" s="105"/>
      <c r="X32" s="105"/>
      <c r="Y32" s="105"/>
      <c r="Z32" s="105"/>
      <c r="AA32" s="106"/>
      <c r="AB32" s="341"/>
      <c r="AC32" s="342"/>
      <c r="AD32" s="342"/>
      <c r="AE32" s="342"/>
      <c r="AF32" s="342"/>
      <c r="AG32" s="343"/>
      <c r="AH32" s="110"/>
      <c r="AI32" s="111"/>
      <c r="AJ32" s="111"/>
      <c r="AK32" s="111"/>
      <c r="AL32" s="111"/>
      <c r="AM32" s="112"/>
      <c r="AN32" s="113"/>
      <c r="AO32" s="113"/>
      <c r="AP32" s="113"/>
      <c r="AQ32" s="113"/>
      <c r="AR32" s="113"/>
      <c r="AS32" s="113"/>
      <c r="AT32" s="114"/>
      <c r="AU32" s="62"/>
    </row>
    <row r="33" spans="1:47" ht="12.65" customHeight="1" thickBot="1" x14ac:dyDescent="0.4">
      <c r="A33" s="13"/>
      <c r="B33" s="86">
        <v>6</v>
      </c>
      <c r="C33" s="264">
        <v>46415</v>
      </c>
      <c r="D33" s="108"/>
      <c r="E33" s="108"/>
      <c r="F33" s="108"/>
      <c r="G33" s="108"/>
      <c r="H33" s="108"/>
      <c r="I33" s="271" t="s">
        <v>16</v>
      </c>
      <c r="J33" s="271"/>
      <c r="K33" s="272"/>
      <c r="L33" s="87"/>
      <c r="M33" s="273" t="s">
        <v>17</v>
      </c>
      <c r="N33" s="274"/>
      <c r="O33" s="274"/>
      <c r="P33" s="274"/>
      <c r="Q33" s="87"/>
      <c r="R33" s="275" t="s">
        <v>18</v>
      </c>
      <c r="S33" s="276"/>
      <c r="T33" s="276"/>
      <c r="U33" s="273"/>
      <c r="V33" s="88" t="s">
        <v>100</v>
      </c>
      <c r="W33" s="105"/>
      <c r="X33" s="105"/>
      <c r="Y33" s="105"/>
      <c r="Z33" s="105"/>
      <c r="AA33" s="106"/>
      <c r="AB33" s="107"/>
      <c r="AC33" s="108"/>
      <c r="AD33" s="108"/>
      <c r="AE33" s="108"/>
      <c r="AF33" s="108"/>
      <c r="AG33" s="109"/>
      <c r="AH33" s="110"/>
      <c r="AI33" s="111"/>
      <c r="AJ33" s="111"/>
      <c r="AK33" s="111"/>
      <c r="AL33" s="111"/>
      <c r="AM33" s="112"/>
      <c r="AN33" s="113">
        <v>9999999</v>
      </c>
      <c r="AO33" s="113"/>
      <c r="AP33" s="113"/>
      <c r="AQ33" s="113"/>
      <c r="AR33" s="113"/>
      <c r="AS33" s="113"/>
      <c r="AT33" s="114"/>
      <c r="AU33" s="14"/>
    </row>
    <row r="34" spans="1:47" ht="12.65" customHeight="1" x14ac:dyDescent="0.35">
      <c r="A34" s="13"/>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1"/>
      <c r="AD34" s="19"/>
      <c r="AE34" s="19"/>
      <c r="AF34" s="19"/>
      <c r="AG34" s="19"/>
      <c r="AH34" s="19"/>
      <c r="AI34" s="49"/>
      <c r="AJ34" s="49"/>
      <c r="AK34" s="18"/>
      <c r="AL34" s="18"/>
      <c r="AM34" s="18"/>
      <c r="AN34" s="18"/>
      <c r="AO34" s="18"/>
      <c r="AP34" s="18"/>
      <c r="AQ34" s="18"/>
      <c r="AR34" s="18"/>
      <c r="AS34" s="18"/>
      <c r="AT34" s="18"/>
      <c r="AU34" s="14"/>
    </row>
    <row r="35" spans="1:47" ht="12.65" customHeight="1" x14ac:dyDescent="0.35">
      <c r="A35" s="13"/>
      <c r="B35" s="143" t="s">
        <v>22</v>
      </c>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c r="AA35" s="143"/>
      <c r="AB35" s="143"/>
      <c r="AC35" s="143"/>
      <c r="AD35" s="143"/>
      <c r="AE35" s="143"/>
      <c r="AF35" s="143"/>
      <c r="AG35" s="143"/>
      <c r="AH35" s="143"/>
      <c r="AI35" s="143"/>
      <c r="AJ35" s="143"/>
      <c r="AK35" s="143"/>
      <c r="AL35" s="143"/>
      <c r="AM35" s="143"/>
      <c r="AN35" s="143"/>
      <c r="AO35" s="143"/>
      <c r="AP35" s="143"/>
      <c r="AQ35" s="143"/>
      <c r="AR35" s="143"/>
      <c r="AS35" s="143"/>
      <c r="AT35" s="143"/>
      <c r="AU35" s="14"/>
    </row>
    <row r="36" spans="1:47" ht="12.65" customHeight="1" x14ac:dyDescent="0.35">
      <c r="A36" s="13"/>
      <c r="B36" s="48"/>
      <c r="C36" s="48"/>
      <c r="D36" s="48"/>
      <c r="E36" s="48"/>
      <c r="F36" s="48"/>
      <c r="G36" s="48"/>
      <c r="H36" s="48"/>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14"/>
    </row>
    <row r="37" spans="1:47" ht="12.65" customHeight="1" x14ac:dyDescent="0.35">
      <c r="A37" s="13"/>
      <c r="B37" s="1" t="s">
        <v>70</v>
      </c>
      <c r="C37" s="1"/>
      <c r="D37" s="1"/>
      <c r="E37" s="1"/>
      <c r="F37" s="1"/>
      <c r="G37" s="1"/>
      <c r="H37" s="1"/>
      <c r="I37" s="1"/>
      <c r="J37" s="267">
        <f>+AN24</f>
        <v>386128219</v>
      </c>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
      <c r="AN37" s="2"/>
      <c r="AO37" s="2"/>
      <c r="AP37" s="2"/>
      <c r="AQ37" s="2"/>
      <c r="AR37" s="2"/>
      <c r="AS37" s="20" t="s">
        <v>6</v>
      </c>
      <c r="AT37" s="21"/>
      <c r="AU37" s="14"/>
    </row>
    <row r="38" spans="1:47" ht="12.65" customHeight="1" x14ac:dyDescent="0.35">
      <c r="A38" s="13"/>
      <c r="B38" s="1"/>
      <c r="C38" s="1"/>
      <c r="D38" s="1"/>
      <c r="E38" s="1"/>
      <c r="F38" s="1"/>
      <c r="G38" s="1"/>
      <c r="H38" s="1"/>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14"/>
    </row>
    <row r="39" spans="1:47" ht="12.65" customHeight="1" thickBot="1" x14ac:dyDescent="0.4">
      <c r="A39" s="13"/>
      <c r="B39" s="180" t="s">
        <v>12</v>
      </c>
      <c r="C39" s="180"/>
      <c r="D39" s="180"/>
      <c r="E39" s="180"/>
      <c r="F39" s="180"/>
      <c r="G39" s="180"/>
      <c r="H39" s="180"/>
      <c r="I39" s="180"/>
      <c r="J39" s="180"/>
      <c r="K39" s="180"/>
      <c r="L39" s="180"/>
      <c r="M39" s="180"/>
      <c r="N39" s="180"/>
      <c r="O39" s="180"/>
      <c r="P39" s="180"/>
      <c r="Q39" s="180"/>
      <c r="R39" s="180"/>
      <c r="S39" s="180"/>
      <c r="T39" s="180"/>
      <c r="U39" s="180"/>
      <c r="V39" s="180"/>
      <c r="W39" s="180"/>
      <c r="X39" s="180"/>
      <c r="Y39" s="180"/>
      <c r="Z39" s="180"/>
      <c r="AA39" s="180"/>
      <c r="AB39" s="180"/>
      <c r="AC39" s="180"/>
      <c r="AD39" s="180"/>
      <c r="AE39" s="180"/>
      <c r="AF39" s="180"/>
      <c r="AG39" s="180"/>
      <c r="AH39" s="180"/>
      <c r="AI39" s="180"/>
      <c r="AJ39" s="180"/>
      <c r="AK39" s="180"/>
      <c r="AL39" s="180"/>
      <c r="AM39" s="180"/>
      <c r="AN39" s="180"/>
      <c r="AO39" s="180"/>
      <c r="AP39" s="180"/>
      <c r="AQ39" s="180"/>
      <c r="AR39" s="180"/>
      <c r="AS39" s="180"/>
      <c r="AT39" s="180"/>
      <c r="AU39" s="14"/>
    </row>
    <row r="40" spans="1:47" ht="12.65" customHeight="1" thickBot="1" x14ac:dyDescent="0.4">
      <c r="A40" s="13"/>
      <c r="B40" s="53" t="s">
        <v>21</v>
      </c>
      <c r="C40" s="268" t="s">
        <v>8</v>
      </c>
      <c r="D40" s="268"/>
      <c r="E40" s="268"/>
      <c r="F40" s="268"/>
      <c r="G40" s="268"/>
      <c r="H40" s="269"/>
      <c r="I40" s="262" t="s">
        <v>7</v>
      </c>
      <c r="J40" s="262"/>
      <c r="K40" s="262"/>
      <c r="L40" s="262"/>
      <c r="M40" s="262"/>
      <c r="N40" s="262"/>
      <c r="O40" s="262"/>
      <c r="P40" s="262"/>
      <c r="Q40" s="277" t="s">
        <v>9</v>
      </c>
      <c r="R40" s="268"/>
      <c r="S40" s="268"/>
      <c r="T40" s="268"/>
      <c r="U40" s="268"/>
      <c r="V40" s="268"/>
      <c r="W40" s="269"/>
      <c r="X40" s="262" t="s">
        <v>10</v>
      </c>
      <c r="Y40" s="262"/>
      <c r="Z40" s="262"/>
      <c r="AA40" s="262"/>
      <c r="AB40" s="262"/>
      <c r="AC40" s="262"/>
      <c r="AD40" s="262"/>
      <c r="AE40" s="262"/>
      <c r="AF40" s="262"/>
      <c r="AG40" s="262"/>
      <c r="AH40" s="262"/>
      <c r="AI40" s="262"/>
      <c r="AJ40" s="262"/>
      <c r="AK40" s="262"/>
      <c r="AL40" s="262"/>
      <c r="AM40" s="262"/>
      <c r="AN40" s="262" t="s">
        <v>11</v>
      </c>
      <c r="AO40" s="262"/>
      <c r="AP40" s="262"/>
      <c r="AQ40" s="262"/>
      <c r="AR40" s="262"/>
      <c r="AS40" s="262"/>
      <c r="AT40" s="263"/>
      <c r="AU40" s="14"/>
    </row>
    <row r="41" spans="1:47" ht="12.65" customHeight="1" x14ac:dyDescent="0.35">
      <c r="A41" s="13"/>
      <c r="B41" s="58">
        <v>1</v>
      </c>
      <c r="C41" s="121">
        <v>45924</v>
      </c>
      <c r="D41" s="122"/>
      <c r="E41" s="122"/>
      <c r="F41" s="122"/>
      <c r="G41" s="122"/>
      <c r="H41" s="123"/>
      <c r="I41" s="115">
        <v>11103</v>
      </c>
      <c r="J41" s="116"/>
      <c r="K41" s="116"/>
      <c r="L41" s="116"/>
      <c r="M41" s="116"/>
      <c r="N41" s="116"/>
      <c r="O41" s="116"/>
      <c r="P41" s="117"/>
      <c r="Q41" s="244" t="s">
        <v>108</v>
      </c>
      <c r="R41" s="244"/>
      <c r="S41" s="244"/>
      <c r="T41" s="244"/>
      <c r="U41" s="244"/>
      <c r="V41" s="244"/>
      <c r="W41" s="244"/>
      <c r="X41" s="244" t="s">
        <v>109</v>
      </c>
      <c r="Y41" s="244"/>
      <c r="Z41" s="244"/>
      <c r="AA41" s="244"/>
      <c r="AB41" s="244"/>
      <c r="AC41" s="244"/>
      <c r="AD41" s="244"/>
      <c r="AE41" s="244"/>
      <c r="AF41" s="244"/>
      <c r="AG41" s="244"/>
      <c r="AH41" s="244"/>
      <c r="AI41" s="244"/>
      <c r="AJ41" s="244"/>
      <c r="AK41" s="244"/>
      <c r="AL41" s="244"/>
      <c r="AM41" s="244"/>
      <c r="AN41" s="242">
        <v>86531419</v>
      </c>
      <c r="AO41" s="242"/>
      <c r="AP41" s="242"/>
      <c r="AQ41" s="242"/>
      <c r="AR41" s="242"/>
      <c r="AS41" s="242"/>
      <c r="AT41" s="243"/>
      <c r="AU41" s="14"/>
    </row>
    <row r="42" spans="1:47" ht="12.65" customHeight="1" x14ac:dyDescent="0.35">
      <c r="A42" s="13"/>
      <c r="B42" s="27">
        <v>2</v>
      </c>
      <c r="C42" s="124"/>
      <c r="D42" s="125"/>
      <c r="E42" s="125"/>
      <c r="F42" s="125"/>
      <c r="G42" s="125"/>
      <c r="H42" s="126"/>
      <c r="I42" s="118"/>
      <c r="J42" s="119"/>
      <c r="K42" s="119"/>
      <c r="L42" s="119"/>
      <c r="M42" s="119"/>
      <c r="N42" s="119"/>
      <c r="O42" s="119"/>
      <c r="P42" s="120"/>
      <c r="Q42" s="179" t="s">
        <v>110</v>
      </c>
      <c r="R42" s="179"/>
      <c r="S42" s="179"/>
      <c r="T42" s="179"/>
      <c r="U42" s="179"/>
      <c r="V42" s="179"/>
      <c r="W42" s="179"/>
      <c r="X42" s="179" t="s">
        <v>111</v>
      </c>
      <c r="Y42" s="179"/>
      <c r="Z42" s="179"/>
      <c r="AA42" s="179"/>
      <c r="AB42" s="179"/>
      <c r="AC42" s="179"/>
      <c r="AD42" s="179"/>
      <c r="AE42" s="179"/>
      <c r="AF42" s="179"/>
      <c r="AG42" s="179"/>
      <c r="AH42" s="179"/>
      <c r="AI42" s="179"/>
      <c r="AJ42" s="179"/>
      <c r="AK42" s="179"/>
      <c r="AL42" s="179"/>
      <c r="AM42" s="179"/>
      <c r="AN42" s="181">
        <v>29596800</v>
      </c>
      <c r="AO42" s="181"/>
      <c r="AP42" s="181"/>
      <c r="AQ42" s="181"/>
      <c r="AR42" s="181"/>
      <c r="AS42" s="181"/>
      <c r="AT42" s="182"/>
      <c r="AU42" s="14"/>
    </row>
    <row r="43" spans="1:47" ht="12.65" customHeight="1" x14ac:dyDescent="0.35">
      <c r="A43" s="13"/>
      <c r="B43" s="27">
        <v>3</v>
      </c>
      <c r="C43" s="371">
        <v>46024</v>
      </c>
      <c r="D43" s="372"/>
      <c r="E43" s="372"/>
      <c r="F43" s="372"/>
      <c r="G43" s="372"/>
      <c r="H43" s="372"/>
      <c r="I43" s="179">
        <v>11263</v>
      </c>
      <c r="J43" s="179"/>
      <c r="K43" s="179"/>
      <c r="L43" s="179"/>
      <c r="M43" s="179"/>
      <c r="N43" s="179"/>
      <c r="O43" s="179"/>
      <c r="P43" s="179"/>
      <c r="Q43" s="179" t="s">
        <v>108</v>
      </c>
      <c r="R43" s="179"/>
      <c r="S43" s="179"/>
      <c r="T43" s="179"/>
      <c r="U43" s="179"/>
      <c r="V43" s="179"/>
      <c r="W43" s="179"/>
      <c r="X43" s="179" t="s">
        <v>109</v>
      </c>
      <c r="Y43" s="179"/>
      <c r="Z43" s="179"/>
      <c r="AA43" s="179"/>
      <c r="AB43" s="179"/>
      <c r="AC43" s="179"/>
      <c r="AD43" s="179"/>
      <c r="AE43" s="179"/>
      <c r="AF43" s="179"/>
      <c r="AG43" s="179"/>
      <c r="AH43" s="179"/>
      <c r="AI43" s="179"/>
      <c r="AJ43" s="179"/>
      <c r="AK43" s="179"/>
      <c r="AL43" s="179"/>
      <c r="AM43" s="179"/>
      <c r="AN43" s="181">
        <v>324000000</v>
      </c>
      <c r="AO43" s="181"/>
      <c r="AP43" s="181"/>
      <c r="AQ43" s="181"/>
      <c r="AR43" s="181"/>
      <c r="AS43" s="181"/>
      <c r="AT43" s="182"/>
      <c r="AU43" s="14"/>
    </row>
    <row r="44" spans="1:47" ht="12.65" customHeight="1" x14ac:dyDescent="0.35">
      <c r="A44" s="13"/>
      <c r="B44" s="27">
        <v>4</v>
      </c>
      <c r="C44" s="254"/>
      <c r="D44" s="255"/>
      <c r="E44" s="255"/>
      <c r="F44" s="255"/>
      <c r="G44" s="255"/>
      <c r="H44" s="255"/>
      <c r="I44" s="226"/>
      <c r="J44" s="226"/>
      <c r="K44" s="226"/>
      <c r="L44" s="226"/>
      <c r="M44" s="226"/>
      <c r="N44" s="226"/>
      <c r="O44" s="226"/>
      <c r="P44" s="226"/>
      <c r="Q44" s="226"/>
      <c r="R44" s="226"/>
      <c r="S44" s="226"/>
      <c r="T44" s="226"/>
      <c r="U44" s="226"/>
      <c r="V44" s="226"/>
      <c r="W44" s="226"/>
      <c r="X44" s="226"/>
      <c r="Y44" s="226"/>
      <c r="Z44" s="226"/>
      <c r="AA44" s="226"/>
      <c r="AB44" s="226"/>
      <c r="AC44" s="226"/>
      <c r="AD44" s="226"/>
      <c r="AE44" s="226"/>
      <c r="AF44" s="226"/>
      <c r="AG44" s="226"/>
      <c r="AH44" s="226"/>
      <c r="AI44" s="226"/>
      <c r="AJ44" s="226"/>
      <c r="AK44" s="226"/>
      <c r="AL44" s="226"/>
      <c r="AM44" s="226"/>
      <c r="AN44" s="366"/>
      <c r="AO44" s="367"/>
      <c r="AP44" s="367"/>
      <c r="AQ44" s="367"/>
      <c r="AR44" s="367"/>
      <c r="AS44" s="367"/>
      <c r="AT44" s="368"/>
      <c r="AU44" s="14"/>
    </row>
    <row r="45" spans="1:47" ht="12.65" customHeight="1" thickBot="1" x14ac:dyDescent="0.4">
      <c r="A45" s="13"/>
      <c r="B45" s="28">
        <v>5</v>
      </c>
      <c r="C45" s="369"/>
      <c r="D45" s="370"/>
      <c r="E45" s="370"/>
      <c r="F45" s="370"/>
      <c r="G45" s="370"/>
      <c r="H45" s="370"/>
      <c r="I45" s="227"/>
      <c r="J45" s="227"/>
      <c r="K45" s="227"/>
      <c r="L45" s="227"/>
      <c r="M45" s="227"/>
      <c r="N45" s="227"/>
      <c r="O45" s="227"/>
      <c r="P45" s="227"/>
      <c r="Q45" s="227"/>
      <c r="R45" s="227"/>
      <c r="S45" s="227"/>
      <c r="T45" s="227"/>
      <c r="U45" s="227"/>
      <c r="V45" s="227"/>
      <c r="W45" s="227"/>
      <c r="X45" s="227"/>
      <c r="Y45" s="227"/>
      <c r="Z45" s="227"/>
      <c r="AA45" s="227"/>
      <c r="AB45" s="227"/>
      <c r="AC45" s="227"/>
      <c r="AD45" s="227"/>
      <c r="AE45" s="227"/>
      <c r="AF45" s="227"/>
      <c r="AG45" s="227"/>
      <c r="AH45" s="227"/>
      <c r="AI45" s="227"/>
      <c r="AJ45" s="227"/>
      <c r="AK45" s="227"/>
      <c r="AL45" s="227"/>
      <c r="AM45" s="227"/>
      <c r="AN45" s="141"/>
      <c r="AO45" s="141"/>
      <c r="AP45" s="141"/>
      <c r="AQ45" s="141"/>
      <c r="AR45" s="141"/>
      <c r="AS45" s="141"/>
      <c r="AT45" s="142"/>
      <c r="AU45" s="14"/>
    </row>
    <row r="46" spans="1:47" ht="12.65" customHeight="1" thickBot="1" x14ac:dyDescent="0.4">
      <c r="A46" s="13"/>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4" t="s">
        <v>14</v>
      </c>
      <c r="AN46" s="245">
        <f>SUM(AN41:AT45)</f>
        <v>440128219</v>
      </c>
      <c r="AO46" s="246"/>
      <c r="AP46" s="246"/>
      <c r="AQ46" s="246"/>
      <c r="AR46" s="246"/>
      <c r="AS46" s="246"/>
      <c r="AT46" s="247"/>
      <c r="AU46" s="14"/>
    </row>
    <row r="47" spans="1:47" ht="12.65" customHeight="1" x14ac:dyDescent="0.35">
      <c r="A47" s="13"/>
      <c r="B47" s="48"/>
      <c r="C47" s="48"/>
      <c r="D47" s="48"/>
      <c r="E47" s="48"/>
      <c r="F47" s="48"/>
      <c r="G47" s="48"/>
      <c r="H47" s="48"/>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14"/>
    </row>
    <row r="48" spans="1:47" s="63" customFormat="1" ht="12.65" customHeight="1" thickBot="1" x14ac:dyDescent="0.4">
      <c r="A48" s="59"/>
      <c r="B48" s="253" t="s">
        <v>84</v>
      </c>
      <c r="C48" s="253"/>
      <c r="D48" s="253"/>
      <c r="E48" s="253"/>
      <c r="F48" s="253"/>
      <c r="G48" s="253"/>
      <c r="H48" s="253"/>
      <c r="I48" s="253"/>
      <c r="J48" s="253"/>
      <c r="K48" s="253"/>
      <c r="L48" s="253"/>
      <c r="M48" s="253"/>
      <c r="N48" s="253"/>
      <c r="O48" s="253"/>
      <c r="P48" s="253"/>
      <c r="Q48" s="253"/>
      <c r="R48" s="253"/>
      <c r="S48" s="253"/>
      <c r="T48" s="253"/>
      <c r="U48" s="253"/>
      <c r="V48" s="253"/>
      <c r="W48" s="253"/>
      <c r="X48" s="253"/>
      <c r="Y48" s="253"/>
      <c r="Z48" s="253"/>
      <c r="AA48" s="253"/>
      <c r="AB48" s="253"/>
      <c r="AC48" s="253"/>
      <c r="AD48" s="253"/>
      <c r="AE48" s="253"/>
      <c r="AF48" s="253"/>
      <c r="AG48" s="253"/>
      <c r="AH48" s="253"/>
      <c r="AI48" s="253"/>
      <c r="AJ48" s="253"/>
      <c r="AK48" s="253"/>
      <c r="AL48" s="253"/>
      <c r="AM48" s="253"/>
      <c r="AN48" s="253"/>
      <c r="AO48" s="253"/>
      <c r="AP48" s="253"/>
      <c r="AQ48" s="253"/>
      <c r="AR48" s="253"/>
      <c r="AS48" s="253"/>
      <c r="AT48" s="253"/>
      <c r="AU48" s="62"/>
    </row>
    <row r="49" spans="1:47" s="63" customFormat="1" ht="12.65" customHeight="1" thickBot="1" x14ac:dyDescent="0.4">
      <c r="A49" s="59"/>
      <c r="B49" s="89" t="s">
        <v>21</v>
      </c>
      <c r="C49" s="237" t="s">
        <v>8</v>
      </c>
      <c r="D49" s="237"/>
      <c r="E49" s="237"/>
      <c r="F49" s="237"/>
      <c r="G49" s="237"/>
      <c r="H49" s="238"/>
      <c r="I49" s="159" t="s">
        <v>7</v>
      </c>
      <c r="J49" s="159"/>
      <c r="K49" s="159"/>
      <c r="L49" s="159"/>
      <c r="M49" s="159"/>
      <c r="N49" s="159"/>
      <c r="O49" s="159"/>
      <c r="P49" s="159"/>
      <c r="Q49" s="239" t="s">
        <v>9</v>
      </c>
      <c r="R49" s="240"/>
      <c r="S49" s="240"/>
      <c r="T49" s="240"/>
      <c r="U49" s="240"/>
      <c r="V49" s="240"/>
      <c r="W49" s="241"/>
      <c r="X49" s="159" t="s">
        <v>10</v>
      </c>
      <c r="Y49" s="159"/>
      <c r="Z49" s="159"/>
      <c r="AA49" s="159"/>
      <c r="AB49" s="159"/>
      <c r="AC49" s="159"/>
      <c r="AD49" s="159"/>
      <c r="AE49" s="159"/>
      <c r="AF49" s="159"/>
      <c r="AG49" s="159"/>
      <c r="AH49" s="159"/>
      <c r="AI49" s="159"/>
      <c r="AJ49" s="159"/>
      <c r="AK49" s="159"/>
      <c r="AL49" s="159"/>
      <c r="AM49" s="159"/>
      <c r="AN49" s="159" t="s">
        <v>11</v>
      </c>
      <c r="AO49" s="159"/>
      <c r="AP49" s="159"/>
      <c r="AQ49" s="159"/>
      <c r="AR49" s="159"/>
      <c r="AS49" s="159"/>
      <c r="AT49" s="160"/>
      <c r="AU49" s="62"/>
    </row>
    <row r="50" spans="1:47" s="63" customFormat="1" ht="12.65" customHeight="1" x14ac:dyDescent="0.35">
      <c r="A50" s="59"/>
      <c r="B50" s="80">
        <v>1</v>
      </c>
      <c r="C50" s="351">
        <v>45958</v>
      </c>
      <c r="D50" s="352"/>
      <c r="E50" s="352"/>
      <c r="F50" s="352"/>
      <c r="G50" s="352"/>
      <c r="H50" s="352"/>
      <c r="I50" s="152">
        <v>27254</v>
      </c>
      <c r="J50" s="152"/>
      <c r="K50" s="152"/>
      <c r="L50" s="152"/>
      <c r="M50" s="152"/>
      <c r="N50" s="152"/>
      <c r="O50" s="152"/>
      <c r="P50" s="152"/>
      <c r="Q50" s="353" t="s">
        <v>108</v>
      </c>
      <c r="R50" s="354"/>
      <c r="S50" s="354"/>
      <c r="T50" s="354"/>
      <c r="U50" s="354"/>
      <c r="V50" s="354"/>
      <c r="W50" s="355"/>
      <c r="X50" s="152" t="s">
        <v>109</v>
      </c>
      <c r="Y50" s="152"/>
      <c r="Z50" s="152"/>
      <c r="AA50" s="152"/>
      <c r="AB50" s="152"/>
      <c r="AC50" s="152"/>
      <c r="AD50" s="152"/>
      <c r="AE50" s="152"/>
      <c r="AF50" s="152"/>
      <c r="AG50" s="152"/>
      <c r="AH50" s="152"/>
      <c r="AI50" s="152"/>
      <c r="AJ50" s="152"/>
      <c r="AK50" s="152"/>
      <c r="AL50" s="152"/>
      <c r="AM50" s="152"/>
      <c r="AN50" s="248">
        <v>86531419</v>
      </c>
      <c r="AO50" s="249"/>
      <c r="AP50" s="249"/>
      <c r="AQ50" s="249"/>
      <c r="AR50" s="249"/>
      <c r="AS50" s="249"/>
      <c r="AT50" s="250"/>
      <c r="AU50" s="62"/>
    </row>
    <row r="51" spans="1:47" s="63" customFormat="1" ht="12.65" customHeight="1" x14ac:dyDescent="0.35">
      <c r="A51" s="59"/>
      <c r="B51" s="83">
        <v>2</v>
      </c>
      <c r="C51" s="229"/>
      <c r="D51" s="230"/>
      <c r="E51" s="230"/>
      <c r="F51" s="230"/>
      <c r="G51" s="230"/>
      <c r="H51" s="230"/>
      <c r="I51" s="219"/>
      <c r="J51" s="219"/>
      <c r="K51" s="219"/>
      <c r="L51" s="219"/>
      <c r="M51" s="219"/>
      <c r="N51" s="219"/>
      <c r="O51" s="219"/>
      <c r="P51" s="219"/>
      <c r="Q51" s="251" t="s">
        <v>110</v>
      </c>
      <c r="R51" s="252"/>
      <c r="S51" s="252"/>
      <c r="T51" s="252"/>
      <c r="U51" s="252"/>
      <c r="V51" s="252"/>
      <c r="W51" s="203"/>
      <c r="X51" s="251" t="s">
        <v>111</v>
      </c>
      <c r="Y51" s="252"/>
      <c r="Z51" s="252"/>
      <c r="AA51" s="252"/>
      <c r="AB51" s="252"/>
      <c r="AC51" s="252"/>
      <c r="AD51" s="252"/>
      <c r="AE51" s="252"/>
      <c r="AF51" s="252"/>
      <c r="AG51" s="252"/>
      <c r="AH51" s="252"/>
      <c r="AI51" s="252"/>
      <c r="AJ51" s="252"/>
      <c r="AK51" s="252"/>
      <c r="AL51" s="252"/>
      <c r="AM51" s="203"/>
      <c r="AN51" s="191">
        <v>29596800</v>
      </c>
      <c r="AO51" s="192"/>
      <c r="AP51" s="192"/>
      <c r="AQ51" s="192"/>
      <c r="AR51" s="192"/>
      <c r="AS51" s="192"/>
      <c r="AT51" s="193"/>
      <c r="AU51" s="62"/>
    </row>
    <row r="52" spans="1:47" s="63" customFormat="1" ht="12.65" customHeight="1" x14ac:dyDescent="0.35">
      <c r="A52" s="59"/>
      <c r="B52" s="83">
        <v>3</v>
      </c>
      <c r="C52" s="231">
        <v>46028</v>
      </c>
      <c r="D52" s="232"/>
      <c r="E52" s="232"/>
      <c r="F52" s="232"/>
      <c r="G52" s="232"/>
      <c r="H52" s="232"/>
      <c r="I52" s="204">
        <v>27706</v>
      </c>
      <c r="J52" s="204"/>
      <c r="K52" s="204"/>
      <c r="L52" s="204"/>
      <c r="M52" s="204"/>
      <c r="N52" s="204"/>
      <c r="O52" s="204"/>
      <c r="P52" s="204"/>
      <c r="Q52" s="204" t="s">
        <v>108</v>
      </c>
      <c r="R52" s="204"/>
      <c r="S52" s="204"/>
      <c r="T52" s="204"/>
      <c r="U52" s="204"/>
      <c r="V52" s="204"/>
      <c r="W52" s="204"/>
      <c r="X52" s="204" t="s">
        <v>109</v>
      </c>
      <c r="Y52" s="204"/>
      <c r="Z52" s="204"/>
      <c r="AA52" s="204"/>
      <c r="AB52" s="204"/>
      <c r="AC52" s="204"/>
      <c r="AD52" s="204"/>
      <c r="AE52" s="204"/>
      <c r="AF52" s="204"/>
      <c r="AG52" s="204"/>
      <c r="AH52" s="204"/>
      <c r="AI52" s="204"/>
      <c r="AJ52" s="204"/>
      <c r="AK52" s="204"/>
      <c r="AL52" s="204"/>
      <c r="AM52" s="204"/>
      <c r="AN52" s="376">
        <v>324000000</v>
      </c>
      <c r="AO52" s="376"/>
      <c r="AP52" s="376"/>
      <c r="AQ52" s="376"/>
      <c r="AR52" s="376"/>
      <c r="AS52" s="376"/>
      <c r="AT52" s="377"/>
      <c r="AU52" s="62"/>
    </row>
    <row r="53" spans="1:47" s="63" customFormat="1" ht="12.65" customHeight="1" x14ac:dyDescent="0.35">
      <c r="A53" s="59"/>
      <c r="B53" s="83">
        <v>4</v>
      </c>
      <c r="C53" s="229"/>
      <c r="D53" s="230"/>
      <c r="E53" s="230"/>
      <c r="F53" s="230"/>
      <c r="G53" s="230"/>
      <c r="H53" s="230"/>
      <c r="I53" s="219"/>
      <c r="J53" s="219"/>
      <c r="K53" s="219"/>
      <c r="L53" s="219"/>
      <c r="M53" s="219"/>
      <c r="N53" s="219"/>
      <c r="O53" s="219"/>
      <c r="P53" s="219"/>
      <c r="Q53" s="378"/>
      <c r="R53" s="270"/>
      <c r="S53" s="270"/>
      <c r="T53" s="270"/>
      <c r="U53" s="270"/>
      <c r="V53" s="270"/>
      <c r="W53" s="218"/>
      <c r="X53" s="219"/>
      <c r="Y53" s="219"/>
      <c r="Z53" s="219"/>
      <c r="AA53" s="219"/>
      <c r="AB53" s="219"/>
      <c r="AC53" s="219"/>
      <c r="AD53" s="219"/>
      <c r="AE53" s="219"/>
      <c r="AF53" s="219"/>
      <c r="AG53" s="219"/>
      <c r="AH53" s="219"/>
      <c r="AI53" s="219"/>
      <c r="AJ53" s="219"/>
      <c r="AK53" s="219"/>
      <c r="AL53" s="219"/>
      <c r="AM53" s="219"/>
      <c r="AN53" s="191"/>
      <c r="AO53" s="192"/>
      <c r="AP53" s="192"/>
      <c r="AQ53" s="192"/>
      <c r="AR53" s="192"/>
      <c r="AS53" s="192"/>
      <c r="AT53" s="193"/>
      <c r="AU53" s="62"/>
    </row>
    <row r="54" spans="1:47" s="63" customFormat="1" ht="12.65" customHeight="1" thickBot="1" x14ac:dyDescent="0.4">
      <c r="A54" s="59"/>
      <c r="B54" s="86">
        <v>5</v>
      </c>
      <c r="C54" s="379"/>
      <c r="D54" s="342"/>
      <c r="E54" s="342"/>
      <c r="F54" s="342"/>
      <c r="G54" s="342"/>
      <c r="H54" s="342"/>
      <c r="I54" s="217"/>
      <c r="J54" s="217"/>
      <c r="K54" s="217"/>
      <c r="L54" s="217"/>
      <c r="M54" s="217"/>
      <c r="N54" s="217"/>
      <c r="O54" s="217"/>
      <c r="P54" s="217"/>
      <c r="Q54" s="380"/>
      <c r="R54" s="105"/>
      <c r="S54" s="105"/>
      <c r="T54" s="105"/>
      <c r="U54" s="105"/>
      <c r="V54" s="105"/>
      <c r="W54" s="106"/>
      <c r="X54" s="217"/>
      <c r="Y54" s="217"/>
      <c r="Z54" s="217"/>
      <c r="AA54" s="217"/>
      <c r="AB54" s="217"/>
      <c r="AC54" s="217"/>
      <c r="AD54" s="217"/>
      <c r="AE54" s="217"/>
      <c r="AF54" s="217"/>
      <c r="AG54" s="217"/>
      <c r="AH54" s="217"/>
      <c r="AI54" s="217"/>
      <c r="AJ54" s="217"/>
      <c r="AK54" s="217"/>
      <c r="AL54" s="217"/>
      <c r="AM54" s="217"/>
      <c r="AN54" s="381"/>
      <c r="AO54" s="382"/>
      <c r="AP54" s="382"/>
      <c r="AQ54" s="382"/>
      <c r="AR54" s="382"/>
      <c r="AS54" s="382"/>
      <c r="AT54" s="383"/>
      <c r="AU54" s="62"/>
    </row>
    <row r="55" spans="1:47" ht="12.65" customHeight="1" thickBot="1" x14ac:dyDescent="0.4">
      <c r="A55" s="13"/>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4" t="s">
        <v>85</v>
      </c>
      <c r="AN55" s="373">
        <f>SUM(AN50:AT54)</f>
        <v>440128219</v>
      </c>
      <c r="AO55" s="374"/>
      <c r="AP55" s="374"/>
      <c r="AQ55" s="374"/>
      <c r="AR55" s="374"/>
      <c r="AS55" s="374"/>
      <c r="AT55" s="375"/>
      <c r="AU55" s="14"/>
    </row>
    <row r="56" spans="1:47" ht="12.65" customHeight="1" x14ac:dyDescent="0.35">
      <c r="A56" s="13"/>
      <c r="B56" s="48"/>
      <c r="C56" s="48"/>
      <c r="D56" s="48"/>
      <c r="E56" s="48"/>
      <c r="F56" s="48"/>
      <c r="G56" s="48"/>
      <c r="H56" s="48"/>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14"/>
    </row>
    <row r="57" spans="1:47" ht="12.65" customHeight="1" x14ac:dyDescent="0.35">
      <c r="A57" s="13"/>
      <c r="B57" s="143" t="s">
        <v>23</v>
      </c>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c r="AC57" s="143"/>
      <c r="AD57" s="143"/>
      <c r="AE57" s="143"/>
      <c r="AF57" s="143"/>
      <c r="AG57" s="143"/>
      <c r="AH57" s="143"/>
      <c r="AI57" s="143"/>
      <c r="AJ57" s="143"/>
      <c r="AK57" s="143"/>
      <c r="AL57" s="143"/>
      <c r="AM57" s="143"/>
      <c r="AN57" s="143"/>
      <c r="AO57" s="143"/>
      <c r="AP57" s="143"/>
      <c r="AQ57" s="143"/>
      <c r="AR57" s="143"/>
      <c r="AS57" s="143"/>
      <c r="AT57" s="143"/>
      <c r="AU57" s="14"/>
    </row>
    <row r="58" spans="1:47" ht="12.65" customHeight="1" x14ac:dyDescent="0.35">
      <c r="A58" s="13"/>
      <c r="B58" s="48"/>
      <c r="C58" s="48"/>
      <c r="D58" s="48"/>
      <c r="E58" s="48"/>
      <c r="F58" s="48"/>
      <c r="G58" s="48"/>
      <c r="H58" s="48"/>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14"/>
    </row>
    <row r="59" spans="1:47" s="63" customFormat="1" ht="12.65" customHeight="1" thickBot="1" x14ac:dyDescent="0.4">
      <c r="A59" s="59"/>
      <c r="B59" s="253" t="s">
        <v>95</v>
      </c>
      <c r="C59" s="253"/>
      <c r="D59" s="253"/>
      <c r="E59" s="253"/>
      <c r="F59" s="253"/>
      <c r="G59" s="253"/>
      <c r="H59" s="253"/>
      <c r="I59" s="253"/>
      <c r="J59" s="253"/>
      <c r="K59" s="253"/>
      <c r="L59" s="253"/>
      <c r="M59" s="253"/>
      <c r="N59" s="253"/>
      <c r="O59" s="253"/>
      <c r="P59" s="253"/>
      <c r="Q59" s="253"/>
      <c r="R59" s="253"/>
      <c r="S59" s="253"/>
      <c r="T59" s="253"/>
      <c r="U59" s="253"/>
      <c r="V59" s="253"/>
      <c r="W59" s="253"/>
      <c r="X59" s="253"/>
      <c r="Y59" s="253"/>
      <c r="Z59" s="253"/>
      <c r="AA59" s="253"/>
      <c r="AB59" s="253"/>
      <c r="AC59" s="253"/>
      <c r="AD59" s="253"/>
      <c r="AE59" s="253"/>
      <c r="AF59" s="253"/>
      <c r="AG59" s="253"/>
      <c r="AH59" s="253"/>
      <c r="AI59" s="253"/>
      <c r="AJ59" s="253"/>
      <c r="AK59" s="253"/>
      <c r="AL59" s="253"/>
      <c r="AM59" s="253"/>
      <c r="AN59" s="253"/>
      <c r="AO59" s="253"/>
      <c r="AP59" s="253"/>
      <c r="AQ59" s="253"/>
      <c r="AR59" s="253"/>
      <c r="AS59" s="253"/>
      <c r="AT59" s="253"/>
      <c r="AU59" s="62"/>
    </row>
    <row r="60" spans="1:47" s="63" customFormat="1" ht="12.65" customHeight="1" thickBot="1" x14ac:dyDescent="0.4">
      <c r="A60" s="59"/>
      <c r="B60" s="89" t="s">
        <v>21</v>
      </c>
      <c r="C60" s="221" t="s">
        <v>29</v>
      </c>
      <c r="D60" s="159"/>
      <c r="E60" s="159"/>
      <c r="F60" s="159"/>
      <c r="G60" s="159"/>
      <c r="H60" s="159"/>
      <c r="I60" s="159" t="s">
        <v>30</v>
      </c>
      <c r="J60" s="159"/>
      <c r="K60" s="159"/>
      <c r="L60" s="159"/>
      <c r="M60" s="159"/>
      <c r="N60" s="239" t="s">
        <v>71</v>
      </c>
      <c r="O60" s="240"/>
      <c r="P60" s="240"/>
      <c r="Q60" s="240"/>
      <c r="R60" s="240"/>
      <c r="S60" s="240"/>
      <c r="T60" s="240"/>
      <c r="U60" s="240"/>
      <c r="V60" s="240"/>
      <c r="W60" s="240"/>
      <c r="X60" s="240"/>
      <c r="Y60" s="240"/>
      <c r="Z60" s="240"/>
      <c r="AA60" s="240"/>
      <c r="AB60" s="240"/>
      <c r="AC60" s="241"/>
      <c r="AD60" s="159" t="s">
        <v>31</v>
      </c>
      <c r="AE60" s="159"/>
      <c r="AF60" s="159"/>
      <c r="AG60" s="159"/>
      <c r="AH60" s="159"/>
      <c r="AI60" s="159" t="s">
        <v>72</v>
      </c>
      <c r="AJ60" s="159"/>
      <c r="AK60" s="159"/>
      <c r="AL60" s="159"/>
      <c r="AM60" s="159"/>
      <c r="AN60" s="159" t="s">
        <v>32</v>
      </c>
      <c r="AO60" s="159"/>
      <c r="AP60" s="159"/>
      <c r="AQ60" s="159"/>
      <c r="AR60" s="159"/>
      <c r="AS60" s="159"/>
      <c r="AT60" s="160"/>
      <c r="AU60" s="62"/>
    </row>
    <row r="61" spans="1:47" s="63" customFormat="1" ht="12.65" customHeight="1" x14ac:dyDescent="0.35">
      <c r="A61" s="59"/>
      <c r="B61" s="90">
        <v>1</v>
      </c>
      <c r="C61" s="228" t="s">
        <v>114</v>
      </c>
      <c r="D61" s="152"/>
      <c r="E61" s="152"/>
      <c r="F61" s="152"/>
      <c r="G61" s="152"/>
      <c r="H61" s="152"/>
      <c r="I61" s="152" t="s">
        <v>115</v>
      </c>
      <c r="J61" s="152"/>
      <c r="K61" s="152"/>
      <c r="L61" s="152"/>
      <c r="M61" s="152"/>
      <c r="N61" s="234" t="s">
        <v>106</v>
      </c>
      <c r="O61" s="235"/>
      <c r="P61" s="235"/>
      <c r="Q61" s="235"/>
      <c r="R61" s="235"/>
      <c r="S61" s="235"/>
      <c r="T61" s="235"/>
      <c r="U61" s="235"/>
      <c r="V61" s="235"/>
      <c r="W61" s="235"/>
      <c r="X61" s="235"/>
      <c r="Y61" s="235"/>
      <c r="Z61" s="235"/>
      <c r="AA61" s="235"/>
      <c r="AB61" s="235"/>
      <c r="AC61" s="236"/>
      <c r="AD61" s="151">
        <v>45957</v>
      </c>
      <c r="AE61" s="151"/>
      <c r="AF61" s="151"/>
      <c r="AG61" s="151"/>
      <c r="AH61" s="151"/>
      <c r="AI61" s="151">
        <v>46568</v>
      </c>
      <c r="AJ61" s="151"/>
      <c r="AK61" s="151"/>
      <c r="AL61" s="151"/>
      <c r="AM61" s="151"/>
      <c r="AN61" s="248">
        <v>77225643.799999997</v>
      </c>
      <c r="AO61" s="249"/>
      <c r="AP61" s="249"/>
      <c r="AQ61" s="249"/>
      <c r="AR61" s="249"/>
      <c r="AS61" s="249"/>
      <c r="AT61" s="250"/>
      <c r="AU61" s="62"/>
    </row>
    <row r="62" spans="1:47" s="63" customFormat="1" ht="12.65" customHeight="1" x14ac:dyDescent="0.35">
      <c r="A62" s="59"/>
      <c r="B62" s="91">
        <v>2</v>
      </c>
      <c r="C62" s="203"/>
      <c r="D62" s="204"/>
      <c r="E62" s="204"/>
      <c r="F62" s="204"/>
      <c r="G62" s="204"/>
      <c r="H62" s="204"/>
      <c r="I62" s="152"/>
      <c r="J62" s="152"/>
      <c r="K62" s="152"/>
      <c r="L62" s="152"/>
      <c r="M62" s="152"/>
      <c r="N62" s="223" t="s">
        <v>112</v>
      </c>
      <c r="O62" s="224"/>
      <c r="P62" s="224"/>
      <c r="Q62" s="224"/>
      <c r="R62" s="224"/>
      <c r="S62" s="224"/>
      <c r="T62" s="224"/>
      <c r="U62" s="224"/>
      <c r="V62" s="224"/>
      <c r="W62" s="224"/>
      <c r="X62" s="224"/>
      <c r="Y62" s="224"/>
      <c r="Z62" s="224"/>
      <c r="AA62" s="224"/>
      <c r="AB62" s="224"/>
      <c r="AC62" s="225"/>
      <c r="AD62" s="151">
        <v>45957</v>
      </c>
      <c r="AE62" s="151"/>
      <c r="AF62" s="151"/>
      <c r="AG62" s="151"/>
      <c r="AH62" s="151"/>
      <c r="AI62" s="233">
        <v>46568</v>
      </c>
      <c r="AJ62" s="233"/>
      <c r="AK62" s="233"/>
      <c r="AL62" s="233"/>
      <c r="AM62" s="233"/>
      <c r="AN62" s="191">
        <v>77225643.799999997</v>
      </c>
      <c r="AO62" s="192"/>
      <c r="AP62" s="192"/>
      <c r="AQ62" s="192"/>
      <c r="AR62" s="192"/>
      <c r="AS62" s="192"/>
      <c r="AT62" s="193"/>
      <c r="AU62" s="62"/>
    </row>
    <row r="63" spans="1:47" s="63" customFormat="1" ht="12.65" customHeight="1" x14ac:dyDescent="0.35">
      <c r="A63" s="59"/>
      <c r="B63" s="91">
        <v>3</v>
      </c>
      <c r="C63" s="203"/>
      <c r="D63" s="204"/>
      <c r="E63" s="204"/>
      <c r="F63" s="204"/>
      <c r="G63" s="204"/>
      <c r="H63" s="204"/>
      <c r="I63" s="152"/>
      <c r="J63" s="152"/>
      <c r="K63" s="152"/>
      <c r="L63" s="152"/>
      <c r="M63" s="152"/>
      <c r="N63" s="223" t="s">
        <v>113</v>
      </c>
      <c r="O63" s="224"/>
      <c r="P63" s="224"/>
      <c r="Q63" s="224"/>
      <c r="R63" s="224"/>
      <c r="S63" s="224"/>
      <c r="T63" s="224"/>
      <c r="U63" s="224"/>
      <c r="V63" s="224"/>
      <c r="W63" s="224"/>
      <c r="X63" s="224"/>
      <c r="Y63" s="224"/>
      <c r="Z63" s="224"/>
      <c r="AA63" s="224"/>
      <c r="AB63" s="224"/>
      <c r="AC63" s="225"/>
      <c r="AD63" s="151">
        <v>45957</v>
      </c>
      <c r="AE63" s="151"/>
      <c r="AF63" s="151"/>
      <c r="AG63" s="151"/>
      <c r="AH63" s="151"/>
      <c r="AI63" s="233">
        <v>47483</v>
      </c>
      <c r="AJ63" s="233"/>
      <c r="AK63" s="233"/>
      <c r="AL63" s="233"/>
      <c r="AM63" s="233"/>
      <c r="AN63" s="191">
        <v>38612821.899999999</v>
      </c>
      <c r="AO63" s="192"/>
      <c r="AP63" s="192"/>
      <c r="AQ63" s="192"/>
      <c r="AR63" s="192"/>
      <c r="AS63" s="192"/>
      <c r="AT63" s="193"/>
      <c r="AU63" s="62"/>
    </row>
    <row r="64" spans="1:47" s="63" customFormat="1" ht="12.65" customHeight="1" x14ac:dyDescent="0.35">
      <c r="A64" s="59"/>
      <c r="B64" s="91">
        <v>4</v>
      </c>
      <c r="C64" s="218" t="s">
        <v>147</v>
      </c>
      <c r="D64" s="219"/>
      <c r="E64" s="219"/>
      <c r="F64" s="219"/>
      <c r="G64" s="219"/>
      <c r="H64" s="219"/>
      <c r="I64" s="219"/>
      <c r="J64" s="219"/>
      <c r="K64" s="219"/>
      <c r="L64" s="219"/>
      <c r="M64" s="219"/>
      <c r="N64" s="390" t="s">
        <v>146</v>
      </c>
      <c r="O64" s="224"/>
      <c r="P64" s="224"/>
      <c r="Q64" s="224"/>
      <c r="R64" s="224"/>
      <c r="S64" s="224"/>
      <c r="T64" s="224"/>
      <c r="U64" s="224"/>
      <c r="V64" s="224"/>
      <c r="W64" s="224"/>
      <c r="X64" s="224"/>
      <c r="Y64" s="224"/>
      <c r="Z64" s="224"/>
      <c r="AA64" s="224"/>
      <c r="AB64" s="224"/>
      <c r="AC64" s="225"/>
      <c r="AD64" s="222">
        <v>45988</v>
      </c>
      <c r="AE64" s="222"/>
      <c r="AF64" s="222"/>
      <c r="AG64" s="222"/>
      <c r="AH64" s="222"/>
      <c r="AI64" s="222">
        <v>47485</v>
      </c>
      <c r="AJ64" s="222"/>
      <c r="AK64" s="222"/>
      <c r="AL64" s="222"/>
      <c r="AM64" s="222"/>
      <c r="AN64" s="359">
        <v>56654212.869999997</v>
      </c>
      <c r="AO64" s="360"/>
      <c r="AP64" s="360"/>
      <c r="AQ64" s="360"/>
      <c r="AR64" s="360"/>
      <c r="AS64" s="360"/>
      <c r="AT64" s="361"/>
      <c r="AU64" s="62"/>
    </row>
    <row r="65" spans="1:47" s="63" customFormat="1" ht="12.65" customHeight="1" thickBot="1" x14ac:dyDescent="0.4">
      <c r="A65" s="59"/>
      <c r="B65" s="92">
        <v>5</v>
      </c>
      <c r="C65" s="106"/>
      <c r="D65" s="217"/>
      <c r="E65" s="217"/>
      <c r="F65" s="217"/>
      <c r="G65" s="217"/>
      <c r="H65" s="217"/>
      <c r="I65" s="217"/>
      <c r="J65" s="217"/>
      <c r="K65" s="217"/>
      <c r="L65" s="217"/>
      <c r="M65" s="217"/>
      <c r="N65" s="356"/>
      <c r="O65" s="357"/>
      <c r="P65" s="357"/>
      <c r="Q65" s="357"/>
      <c r="R65" s="357"/>
      <c r="S65" s="357"/>
      <c r="T65" s="357"/>
      <c r="U65" s="357"/>
      <c r="V65" s="357"/>
      <c r="W65" s="357"/>
      <c r="X65" s="357"/>
      <c r="Y65" s="357"/>
      <c r="Z65" s="357"/>
      <c r="AA65" s="357"/>
      <c r="AB65" s="357"/>
      <c r="AC65" s="358"/>
      <c r="AD65" s="362"/>
      <c r="AE65" s="362"/>
      <c r="AF65" s="362"/>
      <c r="AG65" s="362"/>
      <c r="AH65" s="362"/>
      <c r="AI65" s="362"/>
      <c r="AJ65" s="362"/>
      <c r="AK65" s="362"/>
      <c r="AL65" s="362"/>
      <c r="AM65" s="362"/>
      <c r="AN65" s="387"/>
      <c r="AO65" s="388"/>
      <c r="AP65" s="388"/>
      <c r="AQ65" s="388"/>
      <c r="AR65" s="388"/>
      <c r="AS65" s="388"/>
      <c r="AT65" s="389"/>
      <c r="AU65" s="62"/>
    </row>
    <row r="66" spans="1:47" ht="12.65" customHeight="1" x14ac:dyDescent="0.35">
      <c r="A66" s="13"/>
      <c r="B66" s="48"/>
      <c r="C66" s="48"/>
      <c r="D66" s="48"/>
      <c r="E66" s="48"/>
      <c r="F66" s="48"/>
      <c r="G66" s="48"/>
      <c r="H66" s="48"/>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14"/>
    </row>
    <row r="67" spans="1:47" ht="12.65" customHeight="1" x14ac:dyDescent="0.35">
      <c r="A67" s="13"/>
      <c r="B67" s="48"/>
      <c r="C67" s="48"/>
      <c r="D67" s="48"/>
      <c r="E67" s="48"/>
      <c r="F67" s="48"/>
      <c r="G67" s="48"/>
      <c r="H67" s="48"/>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14"/>
    </row>
    <row r="68" spans="1:47" ht="12.65" customHeight="1" x14ac:dyDescent="0.35">
      <c r="A68" s="13"/>
      <c r="B68" s="143" t="s">
        <v>74</v>
      </c>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c r="AC68" s="143"/>
      <c r="AD68" s="143"/>
      <c r="AE68" s="143"/>
      <c r="AF68" s="143"/>
      <c r="AG68" s="143"/>
      <c r="AH68" s="143"/>
      <c r="AI68" s="143"/>
      <c r="AJ68" s="143"/>
      <c r="AK68" s="143"/>
      <c r="AL68" s="143"/>
      <c r="AM68" s="143"/>
      <c r="AN68" s="143"/>
      <c r="AO68" s="143"/>
      <c r="AP68" s="143"/>
      <c r="AQ68" s="143"/>
      <c r="AR68" s="143"/>
      <c r="AS68" s="143"/>
      <c r="AT68" s="143"/>
      <c r="AU68" s="14"/>
    </row>
    <row r="69" spans="1:47" ht="12.65" customHeight="1" thickBot="1" x14ac:dyDescent="0.4">
      <c r="A69" s="13"/>
      <c r="B69" s="48"/>
      <c r="C69" s="48"/>
      <c r="D69" s="48"/>
      <c r="E69" s="48"/>
      <c r="F69" s="48"/>
      <c r="G69" s="48"/>
      <c r="H69" s="48"/>
      <c r="I69" s="2"/>
      <c r="J69" s="391"/>
      <c r="K69" s="391"/>
      <c r="L69" s="391"/>
      <c r="M69" s="391"/>
      <c r="N69" s="391"/>
      <c r="O69" s="391"/>
      <c r="P69" s="391"/>
      <c r="Q69" s="391"/>
      <c r="R69" s="391"/>
      <c r="S69" s="391"/>
      <c r="T69" s="391"/>
      <c r="U69" s="391"/>
      <c r="V69" s="391"/>
      <c r="W69" s="391"/>
      <c r="X69" s="391"/>
      <c r="Y69" s="391"/>
      <c r="Z69" s="391"/>
      <c r="AA69" s="391"/>
      <c r="AB69" s="391"/>
      <c r="AC69" s="391"/>
      <c r="AD69" s="391"/>
      <c r="AE69" s="391"/>
      <c r="AF69" s="391"/>
      <c r="AG69" s="391"/>
      <c r="AH69" s="391"/>
      <c r="AI69" s="391"/>
      <c r="AJ69" s="2"/>
      <c r="AK69" s="2"/>
      <c r="AL69" s="2"/>
      <c r="AM69" s="2"/>
      <c r="AN69" s="2"/>
      <c r="AO69" s="2"/>
      <c r="AP69" s="2"/>
      <c r="AQ69" s="2"/>
      <c r="AR69" s="2"/>
      <c r="AS69" s="2"/>
      <c r="AT69" s="2"/>
      <c r="AU69" s="14"/>
    </row>
    <row r="70" spans="1:47" ht="63" customHeight="1" x14ac:dyDescent="0.35">
      <c r="A70" s="13"/>
      <c r="B70" s="205" t="s">
        <v>3</v>
      </c>
      <c r="C70" s="206"/>
      <c r="D70" s="206"/>
      <c r="E70" s="206"/>
      <c r="F70" s="209" t="s">
        <v>90</v>
      </c>
      <c r="G70" s="206"/>
      <c r="H70" s="206"/>
      <c r="I70" s="206"/>
      <c r="J70" s="206"/>
      <c r="K70" s="206"/>
      <c r="L70" s="206"/>
      <c r="M70" s="206"/>
      <c r="N70" s="206"/>
      <c r="O70" s="206"/>
      <c r="P70" s="206"/>
      <c r="Q70" s="206"/>
      <c r="R70" s="206"/>
      <c r="S70" s="206"/>
      <c r="T70" s="206"/>
      <c r="U70" s="210"/>
      <c r="V70" s="214" t="s">
        <v>86</v>
      </c>
      <c r="W70" s="215"/>
      <c r="X70" s="214" t="s">
        <v>87</v>
      </c>
      <c r="Y70" s="215"/>
      <c r="Z70" s="215"/>
      <c r="AA70" s="214" t="s">
        <v>88</v>
      </c>
      <c r="AB70" s="215"/>
      <c r="AC70" s="215"/>
      <c r="AD70" s="214" t="s">
        <v>89</v>
      </c>
      <c r="AE70" s="215"/>
      <c r="AF70" s="215"/>
      <c r="AG70" s="214" t="s">
        <v>64</v>
      </c>
      <c r="AH70" s="215"/>
      <c r="AI70" s="215"/>
      <c r="AJ70" s="209" t="s">
        <v>65</v>
      </c>
      <c r="AK70" s="206"/>
      <c r="AL70" s="206"/>
      <c r="AM70" s="206"/>
      <c r="AN70" s="206"/>
      <c r="AO70" s="206"/>
      <c r="AP70" s="206"/>
      <c r="AQ70" s="206"/>
      <c r="AR70" s="206"/>
      <c r="AS70" s="206"/>
      <c r="AT70" s="384"/>
      <c r="AU70" s="14"/>
    </row>
    <row r="71" spans="1:47" ht="25.5" customHeight="1" x14ac:dyDescent="0.35">
      <c r="A71" s="13"/>
      <c r="B71" s="207"/>
      <c r="C71" s="208"/>
      <c r="D71" s="208"/>
      <c r="E71" s="208"/>
      <c r="F71" s="211"/>
      <c r="G71" s="212"/>
      <c r="H71" s="212"/>
      <c r="I71" s="212"/>
      <c r="J71" s="212"/>
      <c r="K71" s="212"/>
      <c r="L71" s="212"/>
      <c r="M71" s="212"/>
      <c r="N71" s="212"/>
      <c r="O71" s="212"/>
      <c r="P71" s="212"/>
      <c r="Q71" s="212"/>
      <c r="R71" s="212"/>
      <c r="S71" s="212"/>
      <c r="T71" s="212"/>
      <c r="U71" s="213"/>
      <c r="V71" s="216"/>
      <c r="W71" s="216"/>
      <c r="X71" s="216"/>
      <c r="Y71" s="216"/>
      <c r="Z71" s="216"/>
      <c r="AA71" s="216"/>
      <c r="AB71" s="216"/>
      <c r="AC71" s="216"/>
      <c r="AD71" s="216"/>
      <c r="AE71" s="216"/>
      <c r="AF71" s="216"/>
      <c r="AG71" s="216"/>
      <c r="AH71" s="216"/>
      <c r="AI71" s="216"/>
      <c r="AJ71" s="385"/>
      <c r="AK71" s="208"/>
      <c r="AL71" s="208"/>
      <c r="AM71" s="208"/>
      <c r="AN71" s="208"/>
      <c r="AO71" s="208"/>
      <c r="AP71" s="208"/>
      <c r="AQ71" s="208"/>
      <c r="AR71" s="208"/>
      <c r="AS71" s="208"/>
      <c r="AT71" s="386"/>
      <c r="AU71" s="14"/>
    </row>
    <row r="72" spans="1:47" ht="130" customHeight="1" x14ac:dyDescent="0.35">
      <c r="A72" s="13"/>
      <c r="B72" s="127">
        <v>1</v>
      </c>
      <c r="C72" s="128"/>
      <c r="D72" s="128"/>
      <c r="E72" s="129"/>
      <c r="F72" s="130" t="s">
        <v>116</v>
      </c>
      <c r="G72" s="130"/>
      <c r="H72" s="130"/>
      <c r="I72" s="130"/>
      <c r="J72" s="130"/>
      <c r="K72" s="130"/>
      <c r="L72" s="130"/>
      <c r="M72" s="130"/>
      <c r="N72" s="130"/>
      <c r="O72" s="130"/>
      <c r="P72" s="130"/>
      <c r="Q72" s="130"/>
      <c r="R72" s="130"/>
      <c r="S72" s="130"/>
      <c r="T72" s="130"/>
      <c r="U72" s="130"/>
      <c r="V72" s="131"/>
      <c r="W72" s="131"/>
      <c r="X72" s="131"/>
      <c r="Y72" s="131"/>
      <c r="Z72" s="131"/>
      <c r="AA72" s="131"/>
      <c r="AB72" s="131"/>
      <c r="AC72" s="131"/>
      <c r="AD72" s="132" t="s">
        <v>136</v>
      </c>
      <c r="AE72" s="133"/>
      <c r="AF72" s="134"/>
      <c r="AG72" s="132"/>
      <c r="AH72" s="133"/>
      <c r="AI72" s="134"/>
      <c r="AJ72" s="135"/>
      <c r="AK72" s="136"/>
      <c r="AL72" s="136"/>
      <c r="AM72" s="136"/>
      <c r="AN72" s="136"/>
      <c r="AO72" s="136"/>
      <c r="AP72" s="136"/>
      <c r="AQ72" s="136"/>
      <c r="AR72" s="136"/>
      <c r="AS72" s="136"/>
      <c r="AT72" s="137"/>
      <c r="AU72" s="14"/>
    </row>
    <row r="73" spans="1:47" ht="189" customHeight="1" x14ac:dyDescent="0.35">
      <c r="A73" s="13"/>
      <c r="B73" s="127">
        <v>2</v>
      </c>
      <c r="C73" s="128"/>
      <c r="D73" s="128"/>
      <c r="E73" s="129"/>
      <c r="F73" s="130" t="s">
        <v>117</v>
      </c>
      <c r="G73" s="130"/>
      <c r="H73" s="130"/>
      <c r="I73" s="130"/>
      <c r="J73" s="130"/>
      <c r="K73" s="130"/>
      <c r="L73" s="130"/>
      <c r="M73" s="130"/>
      <c r="N73" s="130"/>
      <c r="O73" s="130"/>
      <c r="P73" s="130"/>
      <c r="Q73" s="130"/>
      <c r="R73" s="130"/>
      <c r="S73" s="130"/>
      <c r="T73" s="130"/>
      <c r="U73" s="130"/>
      <c r="V73" s="131"/>
      <c r="W73" s="131"/>
      <c r="X73" s="131"/>
      <c r="Y73" s="131"/>
      <c r="Z73" s="131"/>
      <c r="AA73" s="131"/>
      <c r="AB73" s="131"/>
      <c r="AC73" s="131"/>
      <c r="AD73" s="132" t="s">
        <v>136</v>
      </c>
      <c r="AE73" s="133"/>
      <c r="AF73" s="134"/>
      <c r="AG73" s="132"/>
      <c r="AH73" s="133"/>
      <c r="AI73" s="134"/>
      <c r="AJ73" s="135"/>
      <c r="AK73" s="136"/>
      <c r="AL73" s="136"/>
      <c r="AM73" s="136"/>
      <c r="AN73" s="136"/>
      <c r="AO73" s="136"/>
      <c r="AP73" s="136"/>
      <c r="AQ73" s="136"/>
      <c r="AR73" s="136"/>
      <c r="AS73" s="136"/>
      <c r="AT73" s="137"/>
      <c r="AU73" s="14"/>
    </row>
    <row r="74" spans="1:47" ht="157" customHeight="1" x14ac:dyDescent="0.35">
      <c r="A74" s="13"/>
      <c r="B74" s="127">
        <v>3</v>
      </c>
      <c r="C74" s="128"/>
      <c r="D74" s="128"/>
      <c r="E74" s="129"/>
      <c r="F74" s="130" t="s">
        <v>118</v>
      </c>
      <c r="G74" s="130"/>
      <c r="H74" s="130"/>
      <c r="I74" s="130"/>
      <c r="J74" s="130"/>
      <c r="K74" s="130"/>
      <c r="L74" s="130"/>
      <c r="M74" s="130"/>
      <c r="N74" s="130"/>
      <c r="O74" s="130"/>
      <c r="P74" s="130"/>
      <c r="Q74" s="130"/>
      <c r="R74" s="130"/>
      <c r="S74" s="130"/>
      <c r="T74" s="130"/>
      <c r="U74" s="130"/>
      <c r="V74" s="131" t="s">
        <v>136</v>
      </c>
      <c r="W74" s="131"/>
      <c r="X74" s="131"/>
      <c r="Y74" s="131"/>
      <c r="Z74" s="131"/>
      <c r="AA74" s="131"/>
      <c r="AB74" s="131"/>
      <c r="AC74" s="131"/>
      <c r="AD74" s="132"/>
      <c r="AE74" s="133"/>
      <c r="AF74" s="134"/>
      <c r="AG74" s="132"/>
      <c r="AH74" s="133"/>
      <c r="AI74" s="134"/>
      <c r="AJ74" s="138" t="s">
        <v>137</v>
      </c>
      <c r="AK74" s="139"/>
      <c r="AL74" s="139"/>
      <c r="AM74" s="139"/>
      <c r="AN74" s="139"/>
      <c r="AO74" s="139"/>
      <c r="AP74" s="139"/>
      <c r="AQ74" s="139"/>
      <c r="AR74" s="139"/>
      <c r="AS74" s="139"/>
      <c r="AT74" s="140"/>
      <c r="AU74" s="14"/>
    </row>
    <row r="75" spans="1:47" ht="196.5" customHeight="1" x14ac:dyDescent="0.35">
      <c r="A75" s="13"/>
      <c r="B75" s="127">
        <v>4</v>
      </c>
      <c r="C75" s="128"/>
      <c r="D75" s="128"/>
      <c r="E75" s="129"/>
      <c r="F75" s="130" t="s">
        <v>119</v>
      </c>
      <c r="G75" s="130"/>
      <c r="H75" s="130"/>
      <c r="I75" s="130"/>
      <c r="J75" s="130"/>
      <c r="K75" s="130"/>
      <c r="L75" s="130"/>
      <c r="M75" s="130"/>
      <c r="N75" s="130"/>
      <c r="O75" s="130"/>
      <c r="P75" s="130"/>
      <c r="Q75" s="130"/>
      <c r="R75" s="130"/>
      <c r="S75" s="130"/>
      <c r="T75" s="130"/>
      <c r="U75" s="130"/>
      <c r="V75" s="131" t="s">
        <v>136</v>
      </c>
      <c r="W75" s="131"/>
      <c r="X75" s="131"/>
      <c r="Y75" s="131"/>
      <c r="Z75" s="131"/>
      <c r="AA75" s="131"/>
      <c r="AB75" s="131"/>
      <c r="AC75" s="131"/>
      <c r="AD75" s="132"/>
      <c r="AE75" s="133"/>
      <c r="AF75" s="134"/>
      <c r="AG75" s="132"/>
      <c r="AH75" s="133"/>
      <c r="AI75" s="134"/>
      <c r="AJ75" s="138" t="s">
        <v>138</v>
      </c>
      <c r="AK75" s="139"/>
      <c r="AL75" s="139"/>
      <c r="AM75" s="139"/>
      <c r="AN75" s="139"/>
      <c r="AO75" s="139"/>
      <c r="AP75" s="139"/>
      <c r="AQ75" s="139"/>
      <c r="AR75" s="139"/>
      <c r="AS75" s="139"/>
      <c r="AT75" s="140"/>
      <c r="AU75" s="14"/>
    </row>
    <row r="76" spans="1:47" ht="41" customHeight="1" x14ac:dyDescent="0.35">
      <c r="A76" s="13"/>
      <c r="B76" s="127">
        <v>5</v>
      </c>
      <c r="C76" s="128"/>
      <c r="D76" s="128"/>
      <c r="E76" s="129"/>
      <c r="F76" s="130" t="s">
        <v>120</v>
      </c>
      <c r="G76" s="130"/>
      <c r="H76" s="130"/>
      <c r="I76" s="130"/>
      <c r="J76" s="130"/>
      <c r="K76" s="130"/>
      <c r="L76" s="130"/>
      <c r="M76" s="130"/>
      <c r="N76" s="130"/>
      <c r="O76" s="130"/>
      <c r="P76" s="130"/>
      <c r="Q76" s="130"/>
      <c r="R76" s="130"/>
      <c r="S76" s="130"/>
      <c r="T76" s="130"/>
      <c r="U76" s="130"/>
      <c r="V76" s="131"/>
      <c r="W76" s="131"/>
      <c r="X76" s="131"/>
      <c r="Y76" s="131"/>
      <c r="Z76" s="131"/>
      <c r="AA76" s="131"/>
      <c r="AB76" s="131"/>
      <c r="AC76" s="131"/>
      <c r="AD76" s="132" t="s">
        <v>136</v>
      </c>
      <c r="AE76" s="133"/>
      <c r="AF76" s="134"/>
      <c r="AG76" s="132"/>
      <c r="AH76" s="133"/>
      <c r="AI76" s="134"/>
      <c r="AJ76" s="135"/>
      <c r="AK76" s="136"/>
      <c r="AL76" s="136"/>
      <c r="AM76" s="136"/>
      <c r="AN76" s="136"/>
      <c r="AO76" s="136"/>
      <c r="AP76" s="136"/>
      <c r="AQ76" s="136"/>
      <c r="AR76" s="136"/>
      <c r="AS76" s="136"/>
      <c r="AT76" s="137"/>
      <c r="AU76" s="14"/>
    </row>
    <row r="77" spans="1:47" ht="40.5" customHeight="1" x14ac:dyDescent="0.35">
      <c r="A77" s="13"/>
      <c r="B77" s="127">
        <v>6</v>
      </c>
      <c r="C77" s="128"/>
      <c r="D77" s="128"/>
      <c r="E77" s="129"/>
      <c r="F77" s="130" t="s">
        <v>121</v>
      </c>
      <c r="G77" s="130"/>
      <c r="H77" s="130"/>
      <c r="I77" s="130"/>
      <c r="J77" s="130"/>
      <c r="K77" s="130"/>
      <c r="L77" s="130"/>
      <c r="M77" s="130"/>
      <c r="N77" s="130"/>
      <c r="O77" s="130"/>
      <c r="P77" s="130"/>
      <c r="Q77" s="130"/>
      <c r="R77" s="130"/>
      <c r="S77" s="130"/>
      <c r="T77" s="130"/>
      <c r="U77" s="130"/>
      <c r="V77" s="131" t="s">
        <v>136</v>
      </c>
      <c r="W77" s="131"/>
      <c r="X77" s="131"/>
      <c r="Y77" s="131"/>
      <c r="Z77" s="131"/>
      <c r="AA77" s="131"/>
      <c r="AB77" s="131"/>
      <c r="AC77" s="131"/>
      <c r="AD77" s="132"/>
      <c r="AE77" s="133"/>
      <c r="AF77" s="134"/>
      <c r="AG77" s="132"/>
      <c r="AH77" s="133"/>
      <c r="AI77" s="134"/>
      <c r="AJ77" s="138" t="s">
        <v>138</v>
      </c>
      <c r="AK77" s="139"/>
      <c r="AL77" s="139"/>
      <c r="AM77" s="139"/>
      <c r="AN77" s="139"/>
      <c r="AO77" s="139"/>
      <c r="AP77" s="139"/>
      <c r="AQ77" s="139"/>
      <c r="AR77" s="139"/>
      <c r="AS77" s="139"/>
      <c r="AT77" s="140"/>
      <c r="AU77" s="14"/>
    </row>
    <row r="78" spans="1:47" ht="27" customHeight="1" x14ac:dyDescent="0.35">
      <c r="A78" s="13"/>
      <c r="B78" s="127">
        <v>7</v>
      </c>
      <c r="C78" s="128"/>
      <c r="D78" s="128"/>
      <c r="E78" s="129"/>
      <c r="F78" s="130" t="s">
        <v>122</v>
      </c>
      <c r="G78" s="130"/>
      <c r="H78" s="130"/>
      <c r="I78" s="130"/>
      <c r="J78" s="130"/>
      <c r="K78" s="130"/>
      <c r="L78" s="130"/>
      <c r="M78" s="130"/>
      <c r="N78" s="130"/>
      <c r="O78" s="130"/>
      <c r="P78" s="130"/>
      <c r="Q78" s="130"/>
      <c r="R78" s="130"/>
      <c r="S78" s="130"/>
      <c r="T78" s="130"/>
      <c r="U78" s="130"/>
      <c r="V78" s="131" t="s">
        <v>136</v>
      </c>
      <c r="W78" s="131"/>
      <c r="X78" s="131"/>
      <c r="Y78" s="131"/>
      <c r="Z78" s="131"/>
      <c r="AA78" s="131"/>
      <c r="AB78" s="131"/>
      <c r="AC78" s="131"/>
      <c r="AD78" s="132"/>
      <c r="AE78" s="133"/>
      <c r="AF78" s="134"/>
      <c r="AG78" s="132"/>
      <c r="AH78" s="133"/>
      <c r="AI78" s="134"/>
      <c r="AJ78" s="138" t="s">
        <v>138</v>
      </c>
      <c r="AK78" s="139"/>
      <c r="AL78" s="139"/>
      <c r="AM78" s="139"/>
      <c r="AN78" s="139"/>
      <c r="AO78" s="139"/>
      <c r="AP78" s="139"/>
      <c r="AQ78" s="139"/>
      <c r="AR78" s="139"/>
      <c r="AS78" s="139"/>
      <c r="AT78" s="140"/>
      <c r="AU78" s="14"/>
    </row>
    <row r="79" spans="1:47" ht="22" customHeight="1" x14ac:dyDescent="0.35">
      <c r="A79" s="13"/>
      <c r="B79" s="127">
        <v>8</v>
      </c>
      <c r="C79" s="128"/>
      <c r="D79" s="128"/>
      <c r="E79" s="129"/>
      <c r="F79" s="130" t="s">
        <v>123</v>
      </c>
      <c r="G79" s="130"/>
      <c r="H79" s="130"/>
      <c r="I79" s="130"/>
      <c r="J79" s="130"/>
      <c r="K79" s="130"/>
      <c r="L79" s="130"/>
      <c r="M79" s="130"/>
      <c r="N79" s="130"/>
      <c r="O79" s="130"/>
      <c r="P79" s="130"/>
      <c r="Q79" s="130"/>
      <c r="R79" s="130"/>
      <c r="S79" s="130"/>
      <c r="T79" s="130"/>
      <c r="U79" s="130"/>
      <c r="V79" s="131"/>
      <c r="W79" s="131"/>
      <c r="X79" s="131"/>
      <c r="Y79" s="131"/>
      <c r="Z79" s="131"/>
      <c r="AA79" s="131"/>
      <c r="AB79" s="131"/>
      <c r="AC79" s="131"/>
      <c r="AD79" s="132" t="s">
        <v>136</v>
      </c>
      <c r="AE79" s="133"/>
      <c r="AF79" s="134"/>
      <c r="AG79" s="132"/>
      <c r="AH79" s="133"/>
      <c r="AI79" s="134"/>
      <c r="AJ79" s="135"/>
      <c r="AK79" s="136"/>
      <c r="AL79" s="136"/>
      <c r="AM79" s="136"/>
      <c r="AN79" s="136"/>
      <c r="AO79" s="136"/>
      <c r="AP79" s="136"/>
      <c r="AQ79" s="136"/>
      <c r="AR79" s="136"/>
      <c r="AS79" s="136"/>
      <c r="AT79" s="137"/>
      <c r="AU79" s="14"/>
    </row>
    <row r="80" spans="1:47" ht="38" customHeight="1" x14ac:dyDescent="0.35">
      <c r="A80" s="13"/>
      <c r="B80" s="127">
        <v>9</v>
      </c>
      <c r="C80" s="128"/>
      <c r="D80" s="128"/>
      <c r="E80" s="129"/>
      <c r="F80" s="130" t="s">
        <v>124</v>
      </c>
      <c r="G80" s="130"/>
      <c r="H80" s="130"/>
      <c r="I80" s="130"/>
      <c r="J80" s="130"/>
      <c r="K80" s="130"/>
      <c r="L80" s="130"/>
      <c r="M80" s="130"/>
      <c r="N80" s="130"/>
      <c r="O80" s="130"/>
      <c r="P80" s="130"/>
      <c r="Q80" s="130"/>
      <c r="R80" s="130"/>
      <c r="S80" s="130"/>
      <c r="T80" s="130"/>
      <c r="U80" s="130"/>
      <c r="V80" s="131"/>
      <c r="W80" s="131"/>
      <c r="X80" s="131"/>
      <c r="Y80" s="131"/>
      <c r="Z80" s="131"/>
      <c r="AA80" s="131" t="s">
        <v>136</v>
      </c>
      <c r="AB80" s="131"/>
      <c r="AC80" s="131"/>
      <c r="AD80" s="132"/>
      <c r="AE80" s="133"/>
      <c r="AF80" s="134"/>
      <c r="AG80" s="132"/>
      <c r="AH80" s="133"/>
      <c r="AI80" s="134"/>
      <c r="AJ80" s="138" t="s">
        <v>138</v>
      </c>
      <c r="AK80" s="139"/>
      <c r="AL80" s="139"/>
      <c r="AM80" s="139"/>
      <c r="AN80" s="139"/>
      <c r="AO80" s="139"/>
      <c r="AP80" s="139"/>
      <c r="AQ80" s="139"/>
      <c r="AR80" s="139"/>
      <c r="AS80" s="139"/>
      <c r="AT80" s="140"/>
      <c r="AU80" s="14"/>
    </row>
    <row r="81" spans="1:47" ht="26" customHeight="1" x14ac:dyDescent="0.35">
      <c r="A81" s="13"/>
      <c r="B81" s="127">
        <v>10</v>
      </c>
      <c r="C81" s="128"/>
      <c r="D81" s="128"/>
      <c r="E81" s="129"/>
      <c r="F81" s="130" t="s">
        <v>125</v>
      </c>
      <c r="G81" s="130"/>
      <c r="H81" s="130"/>
      <c r="I81" s="130"/>
      <c r="J81" s="130"/>
      <c r="K81" s="130"/>
      <c r="L81" s="130"/>
      <c r="M81" s="130"/>
      <c r="N81" s="130"/>
      <c r="O81" s="130"/>
      <c r="P81" s="130"/>
      <c r="Q81" s="130"/>
      <c r="R81" s="130"/>
      <c r="S81" s="130"/>
      <c r="T81" s="130"/>
      <c r="U81" s="130"/>
      <c r="V81" s="131"/>
      <c r="W81" s="131"/>
      <c r="X81" s="131"/>
      <c r="Y81" s="131"/>
      <c r="Z81" s="131"/>
      <c r="AA81" s="131" t="s">
        <v>136</v>
      </c>
      <c r="AB81" s="131"/>
      <c r="AC81" s="131"/>
      <c r="AD81" s="132"/>
      <c r="AE81" s="133"/>
      <c r="AF81" s="134"/>
      <c r="AG81" s="132"/>
      <c r="AH81" s="133"/>
      <c r="AI81" s="134"/>
      <c r="AJ81" s="138" t="s">
        <v>138</v>
      </c>
      <c r="AK81" s="139"/>
      <c r="AL81" s="139"/>
      <c r="AM81" s="139"/>
      <c r="AN81" s="139"/>
      <c r="AO81" s="139"/>
      <c r="AP81" s="139"/>
      <c r="AQ81" s="139"/>
      <c r="AR81" s="139"/>
      <c r="AS81" s="139"/>
      <c r="AT81" s="140"/>
      <c r="AU81" s="14"/>
    </row>
    <row r="82" spans="1:47" ht="41.5" customHeight="1" x14ac:dyDescent="0.35">
      <c r="A82" s="13"/>
      <c r="B82" s="127">
        <v>11</v>
      </c>
      <c r="C82" s="128"/>
      <c r="D82" s="128"/>
      <c r="E82" s="129"/>
      <c r="F82" s="130" t="s">
        <v>126</v>
      </c>
      <c r="G82" s="130"/>
      <c r="H82" s="130"/>
      <c r="I82" s="130"/>
      <c r="J82" s="130"/>
      <c r="K82" s="130"/>
      <c r="L82" s="130"/>
      <c r="M82" s="130"/>
      <c r="N82" s="130"/>
      <c r="O82" s="130"/>
      <c r="P82" s="130"/>
      <c r="Q82" s="130"/>
      <c r="R82" s="130"/>
      <c r="S82" s="130"/>
      <c r="T82" s="130"/>
      <c r="U82" s="130"/>
      <c r="V82" s="131"/>
      <c r="W82" s="131"/>
      <c r="X82" s="131"/>
      <c r="Y82" s="131"/>
      <c r="Z82" s="131"/>
      <c r="AA82" s="131" t="s">
        <v>136</v>
      </c>
      <c r="AB82" s="131"/>
      <c r="AC82" s="131"/>
      <c r="AD82" s="132"/>
      <c r="AE82" s="133"/>
      <c r="AF82" s="134"/>
      <c r="AG82" s="132"/>
      <c r="AH82" s="133"/>
      <c r="AI82" s="134"/>
      <c r="AJ82" s="138" t="s">
        <v>138</v>
      </c>
      <c r="AK82" s="139"/>
      <c r="AL82" s="139"/>
      <c r="AM82" s="139"/>
      <c r="AN82" s="139"/>
      <c r="AO82" s="139"/>
      <c r="AP82" s="139"/>
      <c r="AQ82" s="139"/>
      <c r="AR82" s="139"/>
      <c r="AS82" s="139"/>
      <c r="AT82" s="140"/>
      <c r="AU82" s="14"/>
    </row>
    <row r="83" spans="1:47" ht="27" customHeight="1" x14ac:dyDescent="0.35">
      <c r="A83" s="13"/>
      <c r="B83" s="127">
        <v>12</v>
      </c>
      <c r="C83" s="128"/>
      <c r="D83" s="128"/>
      <c r="E83" s="129"/>
      <c r="F83" s="130" t="s">
        <v>127</v>
      </c>
      <c r="G83" s="130"/>
      <c r="H83" s="130"/>
      <c r="I83" s="130"/>
      <c r="J83" s="130"/>
      <c r="K83" s="130"/>
      <c r="L83" s="130"/>
      <c r="M83" s="130"/>
      <c r="N83" s="130"/>
      <c r="O83" s="130"/>
      <c r="P83" s="130"/>
      <c r="Q83" s="130"/>
      <c r="R83" s="130"/>
      <c r="S83" s="130"/>
      <c r="T83" s="130"/>
      <c r="U83" s="130"/>
      <c r="V83" s="131"/>
      <c r="W83" s="131"/>
      <c r="X83" s="131"/>
      <c r="Y83" s="131"/>
      <c r="Z83" s="131"/>
      <c r="AA83" s="131"/>
      <c r="AB83" s="131"/>
      <c r="AC83" s="131"/>
      <c r="AD83" s="132" t="s">
        <v>136</v>
      </c>
      <c r="AE83" s="133"/>
      <c r="AF83" s="134"/>
      <c r="AG83" s="132"/>
      <c r="AH83" s="133"/>
      <c r="AI83" s="134"/>
      <c r="AJ83" s="135"/>
      <c r="AK83" s="136"/>
      <c r="AL83" s="136"/>
      <c r="AM83" s="136"/>
      <c r="AN83" s="136"/>
      <c r="AO83" s="136"/>
      <c r="AP83" s="136"/>
      <c r="AQ83" s="136"/>
      <c r="AR83" s="136"/>
      <c r="AS83" s="136"/>
      <c r="AT83" s="137"/>
      <c r="AU83" s="14"/>
    </row>
    <row r="84" spans="1:47" ht="27" customHeight="1" x14ac:dyDescent="0.35">
      <c r="A84" s="13"/>
      <c r="B84" s="127">
        <v>13</v>
      </c>
      <c r="C84" s="128"/>
      <c r="D84" s="128"/>
      <c r="E84" s="129"/>
      <c r="F84" s="130" t="s">
        <v>128</v>
      </c>
      <c r="G84" s="130"/>
      <c r="H84" s="130"/>
      <c r="I84" s="130"/>
      <c r="J84" s="130"/>
      <c r="K84" s="130"/>
      <c r="L84" s="130"/>
      <c r="M84" s="130"/>
      <c r="N84" s="130"/>
      <c r="O84" s="130"/>
      <c r="P84" s="130"/>
      <c r="Q84" s="130"/>
      <c r="R84" s="130"/>
      <c r="S84" s="130"/>
      <c r="T84" s="130"/>
      <c r="U84" s="130"/>
      <c r="V84" s="131"/>
      <c r="W84" s="131"/>
      <c r="X84" s="131"/>
      <c r="Y84" s="131"/>
      <c r="Z84" s="131"/>
      <c r="AA84" s="131"/>
      <c r="AB84" s="131"/>
      <c r="AC84" s="131"/>
      <c r="AD84" s="132" t="s">
        <v>136</v>
      </c>
      <c r="AE84" s="133"/>
      <c r="AF84" s="134"/>
      <c r="AG84" s="132"/>
      <c r="AH84" s="133"/>
      <c r="AI84" s="134"/>
      <c r="AJ84" s="135"/>
      <c r="AK84" s="136"/>
      <c r="AL84" s="136"/>
      <c r="AM84" s="136"/>
      <c r="AN84" s="136"/>
      <c r="AO84" s="136"/>
      <c r="AP84" s="136"/>
      <c r="AQ84" s="136"/>
      <c r="AR84" s="136"/>
      <c r="AS84" s="136"/>
      <c r="AT84" s="137"/>
      <c r="AU84" s="14"/>
    </row>
    <row r="85" spans="1:47" ht="45.5" customHeight="1" x14ac:dyDescent="0.35">
      <c r="A85" s="13"/>
      <c r="B85" s="127">
        <v>14</v>
      </c>
      <c r="C85" s="128"/>
      <c r="D85" s="128"/>
      <c r="E85" s="129"/>
      <c r="F85" s="130" t="s">
        <v>129</v>
      </c>
      <c r="G85" s="130"/>
      <c r="H85" s="130"/>
      <c r="I85" s="130"/>
      <c r="J85" s="130"/>
      <c r="K85" s="130"/>
      <c r="L85" s="130"/>
      <c r="M85" s="130"/>
      <c r="N85" s="130"/>
      <c r="O85" s="130"/>
      <c r="P85" s="130"/>
      <c r="Q85" s="130"/>
      <c r="R85" s="130"/>
      <c r="S85" s="130"/>
      <c r="T85" s="130"/>
      <c r="U85" s="130"/>
      <c r="V85" s="131"/>
      <c r="W85" s="131"/>
      <c r="X85" s="131"/>
      <c r="Y85" s="131"/>
      <c r="Z85" s="131"/>
      <c r="AA85" s="131"/>
      <c r="AB85" s="131"/>
      <c r="AC85" s="131"/>
      <c r="AD85" s="132" t="s">
        <v>136</v>
      </c>
      <c r="AE85" s="133"/>
      <c r="AF85" s="134"/>
      <c r="AG85" s="132"/>
      <c r="AH85" s="133"/>
      <c r="AI85" s="134"/>
      <c r="AJ85" s="135"/>
      <c r="AK85" s="136"/>
      <c r="AL85" s="136"/>
      <c r="AM85" s="136"/>
      <c r="AN85" s="136"/>
      <c r="AO85" s="136"/>
      <c r="AP85" s="136"/>
      <c r="AQ85" s="136"/>
      <c r="AR85" s="136"/>
      <c r="AS85" s="136"/>
      <c r="AT85" s="137"/>
      <c r="AU85" s="14"/>
    </row>
    <row r="86" spans="1:47" ht="27" customHeight="1" x14ac:dyDescent="0.35">
      <c r="A86" s="13"/>
      <c r="B86" s="127">
        <v>15</v>
      </c>
      <c r="C86" s="128"/>
      <c r="D86" s="128"/>
      <c r="E86" s="129"/>
      <c r="F86" s="130" t="s">
        <v>130</v>
      </c>
      <c r="G86" s="130"/>
      <c r="H86" s="130"/>
      <c r="I86" s="130"/>
      <c r="J86" s="130"/>
      <c r="K86" s="130"/>
      <c r="L86" s="130"/>
      <c r="M86" s="130"/>
      <c r="N86" s="130"/>
      <c r="O86" s="130"/>
      <c r="P86" s="130"/>
      <c r="Q86" s="130"/>
      <c r="R86" s="130"/>
      <c r="S86" s="130"/>
      <c r="T86" s="130"/>
      <c r="U86" s="130"/>
      <c r="V86" s="131"/>
      <c r="W86" s="131"/>
      <c r="X86" s="131"/>
      <c r="Y86" s="131"/>
      <c r="Z86" s="131"/>
      <c r="AA86" s="131"/>
      <c r="AB86" s="131"/>
      <c r="AC86" s="131"/>
      <c r="AD86" s="132" t="s">
        <v>136</v>
      </c>
      <c r="AE86" s="133"/>
      <c r="AF86" s="134"/>
      <c r="AG86" s="132"/>
      <c r="AH86" s="133"/>
      <c r="AI86" s="134"/>
      <c r="AJ86" s="135"/>
      <c r="AK86" s="136"/>
      <c r="AL86" s="136"/>
      <c r="AM86" s="136"/>
      <c r="AN86" s="136"/>
      <c r="AO86" s="136"/>
      <c r="AP86" s="136"/>
      <c r="AQ86" s="136"/>
      <c r="AR86" s="136"/>
      <c r="AS86" s="136"/>
      <c r="AT86" s="137"/>
      <c r="AU86" s="14"/>
    </row>
    <row r="87" spans="1:47" ht="27" customHeight="1" x14ac:dyDescent="0.35">
      <c r="A87" s="13"/>
      <c r="B87" s="127">
        <v>16</v>
      </c>
      <c r="C87" s="128"/>
      <c r="D87" s="128"/>
      <c r="E87" s="129"/>
      <c r="F87" s="130" t="s">
        <v>131</v>
      </c>
      <c r="G87" s="130"/>
      <c r="H87" s="130"/>
      <c r="I87" s="130"/>
      <c r="J87" s="130"/>
      <c r="K87" s="130"/>
      <c r="L87" s="130"/>
      <c r="M87" s="130"/>
      <c r="N87" s="130"/>
      <c r="O87" s="130"/>
      <c r="P87" s="130"/>
      <c r="Q87" s="130"/>
      <c r="R87" s="130"/>
      <c r="S87" s="130"/>
      <c r="T87" s="130"/>
      <c r="U87" s="130"/>
      <c r="V87" s="131"/>
      <c r="W87" s="131"/>
      <c r="X87" s="131"/>
      <c r="Y87" s="131"/>
      <c r="Z87" s="131"/>
      <c r="AA87" s="131"/>
      <c r="AB87" s="131"/>
      <c r="AC87" s="131"/>
      <c r="AD87" s="132" t="s">
        <v>136</v>
      </c>
      <c r="AE87" s="133"/>
      <c r="AF87" s="134"/>
      <c r="AG87" s="132"/>
      <c r="AH87" s="133"/>
      <c r="AI87" s="134"/>
      <c r="AJ87" s="135"/>
      <c r="AK87" s="136"/>
      <c r="AL87" s="136"/>
      <c r="AM87" s="136"/>
      <c r="AN87" s="136"/>
      <c r="AO87" s="136"/>
      <c r="AP87" s="136"/>
      <c r="AQ87" s="136"/>
      <c r="AR87" s="136"/>
      <c r="AS87" s="136"/>
      <c r="AT87" s="137"/>
      <c r="AU87" s="14"/>
    </row>
    <row r="88" spans="1:47" ht="27" customHeight="1" x14ac:dyDescent="0.35">
      <c r="A88" s="13"/>
      <c r="B88" s="127">
        <v>17</v>
      </c>
      <c r="C88" s="128"/>
      <c r="D88" s="128"/>
      <c r="E88" s="129"/>
      <c r="F88" s="130" t="s">
        <v>132</v>
      </c>
      <c r="G88" s="130"/>
      <c r="H88" s="130"/>
      <c r="I88" s="130"/>
      <c r="J88" s="130"/>
      <c r="K88" s="130"/>
      <c r="L88" s="130"/>
      <c r="M88" s="130"/>
      <c r="N88" s="130"/>
      <c r="O88" s="130"/>
      <c r="P88" s="130"/>
      <c r="Q88" s="130"/>
      <c r="R88" s="130"/>
      <c r="S88" s="130"/>
      <c r="T88" s="130"/>
      <c r="U88" s="130"/>
      <c r="V88" s="131" t="s">
        <v>136</v>
      </c>
      <c r="W88" s="131"/>
      <c r="X88" s="131"/>
      <c r="Y88" s="131"/>
      <c r="Z88" s="131"/>
      <c r="AA88" s="131"/>
      <c r="AB88" s="131"/>
      <c r="AC88" s="131"/>
      <c r="AD88" s="132"/>
      <c r="AE88" s="133"/>
      <c r="AF88" s="134"/>
      <c r="AG88" s="132"/>
      <c r="AH88" s="133"/>
      <c r="AI88" s="134"/>
      <c r="AJ88" s="138" t="s">
        <v>138</v>
      </c>
      <c r="AK88" s="139"/>
      <c r="AL88" s="139"/>
      <c r="AM88" s="139"/>
      <c r="AN88" s="139"/>
      <c r="AO88" s="139"/>
      <c r="AP88" s="139"/>
      <c r="AQ88" s="139"/>
      <c r="AR88" s="139"/>
      <c r="AS88" s="139"/>
      <c r="AT88" s="140"/>
      <c r="AU88" s="14"/>
    </row>
    <row r="89" spans="1:47" ht="27" customHeight="1" x14ac:dyDescent="0.35">
      <c r="A89" s="13"/>
      <c r="B89" s="127">
        <v>18</v>
      </c>
      <c r="C89" s="128"/>
      <c r="D89" s="128"/>
      <c r="E89" s="129"/>
      <c r="F89" s="130" t="s">
        <v>133</v>
      </c>
      <c r="G89" s="130"/>
      <c r="H89" s="130"/>
      <c r="I89" s="130"/>
      <c r="J89" s="130"/>
      <c r="K89" s="130"/>
      <c r="L89" s="130"/>
      <c r="M89" s="130"/>
      <c r="N89" s="130"/>
      <c r="O89" s="130"/>
      <c r="P89" s="130"/>
      <c r="Q89" s="130"/>
      <c r="R89" s="130"/>
      <c r="S89" s="130"/>
      <c r="T89" s="130"/>
      <c r="U89" s="130"/>
      <c r="V89" s="131"/>
      <c r="W89" s="131"/>
      <c r="X89" s="131"/>
      <c r="Y89" s="131"/>
      <c r="Z89" s="131"/>
      <c r="AA89" s="131"/>
      <c r="AB89" s="131"/>
      <c r="AC89" s="131"/>
      <c r="AD89" s="132" t="s">
        <v>136</v>
      </c>
      <c r="AE89" s="133"/>
      <c r="AF89" s="134"/>
      <c r="AG89" s="132"/>
      <c r="AH89" s="133"/>
      <c r="AI89" s="134"/>
      <c r="AJ89" s="135"/>
      <c r="AK89" s="136"/>
      <c r="AL89" s="136"/>
      <c r="AM89" s="136"/>
      <c r="AN89" s="136"/>
      <c r="AO89" s="136"/>
      <c r="AP89" s="136"/>
      <c r="AQ89" s="136"/>
      <c r="AR89" s="136"/>
      <c r="AS89" s="136"/>
      <c r="AT89" s="137"/>
      <c r="AU89" s="14"/>
    </row>
    <row r="90" spans="1:47" ht="24.75" customHeight="1" thickBot="1" x14ac:dyDescent="0.35">
      <c r="A90" s="13"/>
      <c r="B90" s="220" t="s">
        <v>79</v>
      </c>
      <c r="C90" s="220"/>
      <c r="D90" s="220"/>
      <c r="E90" s="220"/>
      <c r="F90" s="220"/>
      <c r="G90" s="220"/>
      <c r="H90" s="220"/>
      <c r="I90" s="220"/>
      <c r="J90" s="220"/>
      <c r="K90" s="220"/>
      <c r="L90" s="220"/>
      <c r="M90" s="220"/>
      <c r="N90" s="220"/>
      <c r="O90" s="220"/>
      <c r="P90" s="220"/>
      <c r="Q90" s="220"/>
      <c r="R90" s="220"/>
      <c r="S90" s="220"/>
      <c r="T90" s="220"/>
      <c r="U90" s="220"/>
      <c r="V90" s="220"/>
      <c r="W90" s="220"/>
      <c r="X90" s="220"/>
      <c r="Y90" s="220"/>
      <c r="Z90" s="220"/>
      <c r="AA90" s="220"/>
      <c r="AB90" s="220"/>
      <c r="AC90" s="220"/>
      <c r="AD90" s="220"/>
      <c r="AE90" s="220"/>
      <c r="AF90" s="220"/>
      <c r="AG90" s="220"/>
      <c r="AH90" s="220"/>
      <c r="AI90" s="220"/>
      <c r="AJ90" s="220"/>
      <c r="AK90" s="220"/>
      <c r="AL90" s="220"/>
      <c r="AM90" s="220"/>
      <c r="AN90" s="220"/>
      <c r="AO90" s="220"/>
      <c r="AP90" s="220"/>
      <c r="AQ90" s="220"/>
      <c r="AR90" s="220"/>
      <c r="AS90" s="220"/>
      <c r="AT90" s="220"/>
      <c r="AU90" s="14"/>
    </row>
    <row r="91" spans="1:47" ht="33.75" customHeight="1" thickBot="1" x14ac:dyDescent="0.4">
      <c r="A91" s="13"/>
      <c r="B91" s="144"/>
      <c r="C91" s="145"/>
      <c r="D91" s="145"/>
      <c r="E91" s="145"/>
      <c r="F91" s="145"/>
      <c r="G91" s="145"/>
      <c r="H91" s="145"/>
      <c r="I91" s="145"/>
      <c r="J91" s="145"/>
      <c r="K91" s="145"/>
      <c r="L91" s="145"/>
      <c r="M91" s="145"/>
      <c r="N91" s="145"/>
      <c r="O91" s="145"/>
      <c r="P91" s="145"/>
      <c r="Q91" s="145"/>
      <c r="R91" s="145"/>
      <c r="S91" s="145"/>
      <c r="T91" s="145"/>
      <c r="U91" s="145"/>
      <c r="V91" s="145"/>
      <c r="W91" s="145"/>
      <c r="X91" s="145"/>
      <c r="Y91" s="145"/>
      <c r="Z91" s="145"/>
      <c r="AA91" s="145"/>
      <c r="AB91" s="145"/>
      <c r="AC91" s="145"/>
      <c r="AD91" s="145"/>
      <c r="AE91" s="145"/>
      <c r="AF91" s="145"/>
      <c r="AG91" s="145"/>
      <c r="AH91" s="145"/>
      <c r="AI91" s="145"/>
      <c r="AJ91" s="145"/>
      <c r="AK91" s="145"/>
      <c r="AL91" s="145"/>
      <c r="AM91" s="145"/>
      <c r="AN91" s="145"/>
      <c r="AO91" s="145"/>
      <c r="AP91" s="145"/>
      <c r="AQ91" s="145"/>
      <c r="AR91" s="145"/>
      <c r="AS91" s="145"/>
      <c r="AT91" s="146"/>
      <c r="AU91" s="14"/>
    </row>
    <row r="92" spans="1:47" ht="9.75" customHeight="1" thickBot="1" x14ac:dyDescent="0.4">
      <c r="A92" s="15"/>
      <c r="B92" s="45"/>
      <c r="C92" s="45"/>
      <c r="D92" s="45"/>
      <c r="E92" s="45"/>
      <c r="F92" s="45"/>
      <c r="G92" s="45"/>
      <c r="H92" s="45"/>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16"/>
    </row>
    <row r="93" spans="1:47" ht="6.75" customHeight="1" x14ac:dyDescent="0.35">
      <c r="A93" s="6"/>
      <c r="B93" s="38"/>
      <c r="C93" s="38"/>
      <c r="D93" s="38"/>
      <c r="E93" s="38"/>
      <c r="F93" s="38"/>
      <c r="G93" s="38"/>
      <c r="H93" s="38"/>
      <c r="I93" s="47"/>
      <c r="J93" s="47"/>
      <c r="K93" s="47"/>
      <c r="L93" s="47"/>
      <c r="M93" s="47"/>
      <c r="N93" s="47"/>
      <c r="O93" s="47"/>
      <c r="P93" s="47"/>
      <c r="Q93" s="47"/>
      <c r="R93" s="47"/>
      <c r="S93" s="47"/>
      <c r="T93" s="47"/>
      <c r="U93" s="47"/>
      <c r="V93" s="47"/>
      <c r="W93" s="47"/>
      <c r="X93" s="47"/>
      <c r="Y93" s="47"/>
      <c r="Z93" s="47"/>
      <c r="AA93" s="47"/>
      <c r="AB93" s="47"/>
      <c r="AC93" s="47"/>
      <c r="AD93" s="47"/>
      <c r="AE93" s="47"/>
      <c r="AF93" s="47"/>
      <c r="AG93" s="47"/>
      <c r="AH93" s="47"/>
      <c r="AI93" s="47"/>
      <c r="AJ93" s="47"/>
      <c r="AK93" s="47"/>
      <c r="AL93" s="47"/>
      <c r="AM93" s="47"/>
      <c r="AN93" s="47"/>
      <c r="AO93" s="47"/>
      <c r="AP93" s="47"/>
      <c r="AQ93" s="47"/>
      <c r="AR93" s="47"/>
      <c r="AS93" s="47"/>
      <c r="AT93" s="47"/>
      <c r="AU93" s="12"/>
    </row>
    <row r="94" spans="1:47" ht="37.5" customHeight="1" x14ac:dyDescent="0.35">
      <c r="A94" s="13"/>
      <c r="B94" s="149" t="s">
        <v>77</v>
      </c>
      <c r="C94" s="149"/>
      <c r="D94" s="149"/>
      <c r="E94" s="149"/>
      <c r="F94" s="149"/>
      <c r="G94" s="149"/>
      <c r="H94" s="149"/>
      <c r="I94" s="149"/>
      <c r="J94" s="149"/>
      <c r="K94" s="149"/>
      <c r="L94" s="149"/>
      <c r="M94" s="149"/>
      <c r="N94" s="149"/>
      <c r="O94" s="149"/>
      <c r="P94" s="149"/>
      <c r="Q94" s="149"/>
      <c r="R94" s="149"/>
      <c r="S94" s="149"/>
      <c r="T94" s="149"/>
      <c r="U94" s="149"/>
      <c r="V94" s="149"/>
      <c r="W94" s="149"/>
      <c r="X94" s="149"/>
      <c r="Y94" s="149"/>
      <c r="Z94" s="149"/>
      <c r="AA94" s="149"/>
      <c r="AB94" s="149"/>
      <c r="AC94" s="149"/>
      <c r="AD94" s="149"/>
      <c r="AE94" s="149"/>
      <c r="AF94" s="149"/>
      <c r="AG94" s="149"/>
      <c r="AH94" s="149"/>
      <c r="AI94" s="149"/>
      <c r="AJ94" s="149"/>
      <c r="AK94" s="149"/>
      <c r="AL94" s="149"/>
      <c r="AM94" s="149"/>
      <c r="AN94" s="149"/>
      <c r="AO94" s="149"/>
      <c r="AP94" s="149"/>
      <c r="AQ94" s="149"/>
      <c r="AR94" s="149"/>
      <c r="AS94" s="149"/>
      <c r="AT94" s="149"/>
      <c r="AU94" s="14"/>
    </row>
    <row r="95" spans="1:47" ht="12.65" customHeight="1" thickBot="1" x14ac:dyDescent="0.4">
      <c r="A95" s="13"/>
      <c r="B95" s="48"/>
      <c r="C95" s="48"/>
      <c r="D95" s="48"/>
      <c r="E95" s="48"/>
      <c r="F95" s="48"/>
      <c r="G95" s="48"/>
      <c r="H95" s="48"/>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14"/>
    </row>
    <row r="96" spans="1:47" ht="12.65" customHeight="1" x14ac:dyDescent="0.35">
      <c r="A96" s="13"/>
      <c r="B96" s="194"/>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c r="AB96" s="195"/>
      <c r="AC96" s="195"/>
      <c r="AD96" s="195"/>
      <c r="AE96" s="195"/>
      <c r="AF96" s="195"/>
      <c r="AG96" s="195"/>
      <c r="AH96" s="195"/>
      <c r="AI96" s="195"/>
      <c r="AJ96" s="195"/>
      <c r="AK96" s="195"/>
      <c r="AL96" s="195"/>
      <c r="AM96" s="195"/>
      <c r="AN96" s="195"/>
      <c r="AO96" s="195"/>
      <c r="AP96" s="195"/>
      <c r="AQ96" s="195"/>
      <c r="AR96" s="195"/>
      <c r="AS96" s="195"/>
      <c r="AT96" s="196"/>
      <c r="AU96" s="14"/>
    </row>
    <row r="97" spans="1:47" ht="12.65" customHeight="1" x14ac:dyDescent="0.35">
      <c r="A97" s="13"/>
      <c r="B97" s="197"/>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c r="AS97" s="198"/>
      <c r="AT97" s="199"/>
      <c r="AU97" s="14"/>
    </row>
    <row r="98" spans="1:47" ht="12.65" customHeight="1" thickBot="1" x14ac:dyDescent="0.4">
      <c r="A98" s="13"/>
      <c r="B98" s="200"/>
      <c r="C98" s="201"/>
      <c r="D98" s="201"/>
      <c r="E98" s="201"/>
      <c r="F98" s="201"/>
      <c r="G98" s="201"/>
      <c r="H98" s="201"/>
      <c r="I98" s="201"/>
      <c r="J98" s="201"/>
      <c r="K98" s="201"/>
      <c r="L98" s="201"/>
      <c r="M98" s="201"/>
      <c r="N98" s="201"/>
      <c r="O98" s="201"/>
      <c r="P98" s="201"/>
      <c r="Q98" s="201"/>
      <c r="R98" s="201"/>
      <c r="S98" s="201"/>
      <c r="T98" s="201"/>
      <c r="U98" s="201"/>
      <c r="V98" s="201"/>
      <c r="W98" s="201"/>
      <c r="X98" s="201"/>
      <c r="Y98" s="201"/>
      <c r="Z98" s="201"/>
      <c r="AA98" s="201"/>
      <c r="AB98" s="201"/>
      <c r="AC98" s="201"/>
      <c r="AD98" s="201"/>
      <c r="AE98" s="201"/>
      <c r="AF98" s="201"/>
      <c r="AG98" s="201"/>
      <c r="AH98" s="201"/>
      <c r="AI98" s="201"/>
      <c r="AJ98" s="201"/>
      <c r="AK98" s="201"/>
      <c r="AL98" s="201"/>
      <c r="AM98" s="201"/>
      <c r="AN98" s="201"/>
      <c r="AO98" s="201"/>
      <c r="AP98" s="201"/>
      <c r="AQ98" s="201"/>
      <c r="AR98" s="201"/>
      <c r="AS98" s="201"/>
      <c r="AT98" s="202"/>
      <c r="AU98" s="14"/>
    </row>
    <row r="99" spans="1:47" ht="12.65" customHeight="1" x14ac:dyDescent="0.35">
      <c r="A99" s="13"/>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14"/>
    </row>
    <row r="100" spans="1:47" ht="12.65" customHeight="1" x14ac:dyDescent="0.35">
      <c r="A100" s="13"/>
      <c r="B100" s="143" t="s">
        <v>98</v>
      </c>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c r="AA100" s="143"/>
      <c r="AB100" s="143"/>
      <c r="AC100" s="143"/>
      <c r="AD100" s="143"/>
      <c r="AE100" s="143"/>
      <c r="AF100" s="143"/>
      <c r="AG100" s="143"/>
      <c r="AH100" s="143"/>
      <c r="AI100" s="143"/>
      <c r="AJ100" s="143"/>
      <c r="AK100" s="143"/>
      <c r="AL100" s="143"/>
      <c r="AM100" s="143"/>
      <c r="AN100" s="143"/>
      <c r="AO100" s="143"/>
      <c r="AP100" s="143"/>
      <c r="AQ100" s="143"/>
      <c r="AR100" s="143"/>
      <c r="AS100" s="143"/>
      <c r="AT100" s="143"/>
      <c r="AU100" s="14"/>
    </row>
    <row r="101" spans="1:47" ht="12.65" customHeight="1" thickBot="1" x14ac:dyDescent="0.4">
      <c r="A101" s="13"/>
      <c r="B101" s="48"/>
      <c r="C101" s="48"/>
      <c r="D101" s="48"/>
      <c r="E101" s="48"/>
      <c r="F101" s="48"/>
      <c r="G101" s="48"/>
      <c r="H101" s="48"/>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14"/>
    </row>
    <row r="102" spans="1:47" ht="47.25" customHeight="1" thickBot="1" x14ac:dyDescent="0.4">
      <c r="A102" s="13"/>
      <c r="B102" s="144"/>
      <c r="C102" s="145"/>
      <c r="D102" s="145"/>
      <c r="E102" s="145"/>
      <c r="F102" s="145"/>
      <c r="G102" s="145"/>
      <c r="H102" s="145"/>
      <c r="I102" s="145"/>
      <c r="J102" s="145"/>
      <c r="K102" s="145"/>
      <c r="L102" s="145"/>
      <c r="M102" s="145"/>
      <c r="N102" s="145"/>
      <c r="O102" s="145"/>
      <c r="P102" s="145"/>
      <c r="Q102" s="145"/>
      <c r="R102" s="145"/>
      <c r="S102" s="145"/>
      <c r="T102" s="145"/>
      <c r="U102" s="145"/>
      <c r="V102" s="145"/>
      <c r="W102" s="145"/>
      <c r="X102" s="145"/>
      <c r="Y102" s="145"/>
      <c r="Z102" s="145"/>
      <c r="AA102" s="145"/>
      <c r="AB102" s="145"/>
      <c r="AC102" s="145"/>
      <c r="AD102" s="145"/>
      <c r="AE102" s="145"/>
      <c r="AF102" s="145"/>
      <c r="AG102" s="145"/>
      <c r="AH102" s="145"/>
      <c r="AI102" s="145"/>
      <c r="AJ102" s="145"/>
      <c r="AK102" s="145"/>
      <c r="AL102" s="145"/>
      <c r="AM102" s="145"/>
      <c r="AN102" s="145"/>
      <c r="AO102" s="145"/>
      <c r="AP102" s="145"/>
      <c r="AQ102" s="145"/>
      <c r="AR102" s="145"/>
      <c r="AS102" s="145"/>
      <c r="AT102" s="146"/>
      <c r="AU102" s="14"/>
    </row>
    <row r="103" spans="1:47" ht="12.65" customHeight="1" x14ac:dyDescent="0.35">
      <c r="A103" s="13"/>
      <c r="B103" s="48"/>
      <c r="C103" s="48"/>
      <c r="D103" s="48"/>
      <c r="E103" s="48"/>
      <c r="F103" s="48"/>
      <c r="G103" s="48"/>
      <c r="H103" s="48"/>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14"/>
    </row>
    <row r="104" spans="1:47" ht="12.65" customHeight="1" x14ac:dyDescent="0.35">
      <c r="A104" s="13"/>
      <c r="B104" s="143" t="s">
        <v>96</v>
      </c>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c r="AA104" s="143"/>
      <c r="AB104" s="143"/>
      <c r="AC104" s="143"/>
      <c r="AD104" s="143"/>
      <c r="AE104" s="143"/>
      <c r="AF104" s="143"/>
      <c r="AG104" s="143"/>
      <c r="AH104" s="143"/>
      <c r="AI104" s="143"/>
      <c r="AJ104" s="143"/>
      <c r="AK104" s="143"/>
      <c r="AL104" s="143"/>
      <c r="AM104" s="143"/>
      <c r="AN104" s="143"/>
      <c r="AO104" s="143"/>
      <c r="AP104" s="143"/>
      <c r="AQ104" s="143"/>
      <c r="AR104" s="143"/>
      <c r="AS104" s="143"/>
      <c r="AT104" s="143"/>
      <c r="AU104" s="14"/>
    </row>
    <row r="105" spans="1:47" ht="12.65" customHeight="1" x14ac:dyDescent="0.35">
      <c r="A105" s="13"/>
      <c r="B105" s="48"/>
      <c r="C105" s="48"/>
      <c r="D105" s="48"/>
      <c r="E105" s="48"/>
      <c r="F105" s="48"/>
      <c r="G105" s="48"/>
      <c r="H105" s="48"/>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14"/>
    </row>
    <row r="106" spans="1:47" ht="12.65" customHeight="1" thickBot="1" x14ac:dyDescent="0.4">
      <c r="A106" s="13"/>
      <c r="B106" s="180" t="s">
        <v>54</v>
      </c>
      <c r="C106" s="180"/>
      <c r="D106" s="180"/>
      <c r="E106" s="180"/>
      <c r="F106" s="180"/>
      <c r="G106" s="180"/>
      <c r="H106" s="180"/>
      <c r="I106" s="180"/>
      <c r="J106" s="180"/>
      <c r="K106" s="180"/>
      <c r="L106" s="180"/>
      <c r="M106" s="180"/>
      <c r="N106" s="180"/>
      <c r="O106" s="180"/>
      <c r="P106" s="180"/>
      <c r="Q106" s="180"/>
      <c r="R106" s="180"/>
      <c r="S106" s="180"/>
      <c r="T106" s="180"/>
      <c r="U106" s="180"/>
      <c r="V106" s="180"/>
      <c r="W106" s="180"/>
      <c r="X106" s="180"/>
      <c r="Y106" s="180"/>
      <c r="Z106" s="180"/>
      <c r="AA106" s="180"/>
      <c r="AB106" s="180"/>
      <c r="AC106" s="180"/>
      <c r="AD106" s="180"/>
      <c r="AE106" s="180"/>
      <c r="AF106" s="180"/>
      <c r="AG106" s="180"/>
      <c r="AH106" s="180"/>
      <c r="AI106" s="180"/>
      <c r="AJ106" s="180"/>
      <c r="AK106" s="180"/>
      <c r="AL106" s="180"/>
      <c r="AM106" s="180"/>
      <c r="AN106" s="180"/>
      <c r="AO106" s="180"/>
      <c r="AP106" s="180"/>
      <c r="AQ106" s="180"/>
      <c r="AR106" s="180"/>
      <c r="AS106" s="180"/>
      <c r="AT106" s="180"/>
      <c r="AU106" s="14"/>
    </row>
    <row r="107" spans="1:47" ht="28.5" customHeight="1" thickBot="1" x14ac:dyDescent="0.4">
      <c r="A107" s="13"/>
      <c r="B107" s="41" t="s">
        <v>21</v>
      </c>
      <c r="C107" s="147" t="s">
        <v>8</v>
      </c>
      <c r="D107" s="147"/>
      <c r="E107" s="147"/>
      <c r="F107" s="147"/>
      <c r="G107" s="147"/>
      <c r="H107" s="147" t="s">
        <v>49</v>
      </c>
      <c r="I107" s="147"/>
      <c r="J107" s="147"/>
      <c r="K107" s="147"/>
      <c r="L107" s="147"/>
      <c r="M107" s="417" t="s">
        <v>48</v>
      </c>
      <c r="N107" s="417"/>
      <c r="O107" s="417"/>
      <c r="P107" s="417" t="s">
        <v>59</v>
      </c>
      <c r="Q107" s="417"/>
      <c r="R107" s="417"/>
      <c r="S107" s="417" t="s">
        <v>50</v>
      </c>
      <c r="T107" s="417"/>
      <c r="U107" s="417"/>
      <c r="V107" s="417" t="s">
        <v>60</v>
      </c>
      <c r="W107" s="417"/>
      <c r="X107" s="147" t="s">
        <v>51</v>
      </c>
      <c r="Y107" s="147"/>
      <c r="Z107" s="147"/>
      <c r="AA107" s="147"/>
      <c r="AB107" s="147"/>
      <c r="AC107" s="147"/>
      <c r="AD107" s="147"/>
      <c r="AE107" s="147"/>
      <c r="AF107" s="147"/>
      <c r="AG107" s="147"/>
      <c r="AH107" s="147"/>
      <c r="AI107" s="147"/>
      <c r="AJ107" s="147"/>
      <c r="AK107" s="147"/>
      <c r="AL107" s="147"/>
      <c r="AM107" s="147"/>
      <c r="AN107" s="147" t="s">
        <v>11</v>
      </c>
      <c r="AO107" s="147"/>
      <c r="AP107" s="147"/>
      <c r="AQ107" s="147"/>
      <c r="AR107" s="147"/>
      <c r="AS107" s="147"/>
      <c r="AT107" s="148"/>
      <c r="AU107" s="14"/>
    </row>
    <row r="108" spans="1:47" ht="51" customHeight="1" x14ac:dyDescent="0.35">
      <c r="A108" s="13"/>
      <c r="B108" s="54">
        <v>1</v>
      </c>
      <c r="C108" s="190">
        <v>45975</v>
      </c>
      <c r="D108" s="190"/>
      <c r="E108" s="190"/>
      <c r="F108" s="190"/>
      <c r="G108" s="190"/>
      <c r="H108" s="177" t="s">
        <v>134</v>
      </c>
      <c r="I108" s="177"/>
      <c r="J108" s="177"/>
      <c r="K108" s="177"/>
      <c r="L108" s="177"/>
      <c r="M108" s="177">
        <v>27254</v>
      </c>
      <c r="N108" s="177"/>
      <c r="O108" s="177"/>
      <c r="P108" s="177">
        <v>25327</v>
      </c>
      <c r="Q108" s="177"/>
      <c r="R108" s="177"/>
      <c r="S108" s="177">
        <v>11103</v>
      </c>
      <c r="T108" s="177"/>
      <c r="U108" s="177"/>
      <c r="V108" s="177">
        <v>9646</v>
      </c>
      <c r="W108" s="177"/>
      <c r="X108" s="176" t="s">
        <v>135</v>
      </c>
      <c r="Y108" s="176"/>
      <c r="Z108" s="176"/>
      <c r="AA108" s="176"/>
      <c r="AB108" s="176"/>
      <c r="AC108" s="176"/>
      <c r="AD108" s="176"/>
      <c r="AE108" s="176"/>
      <c r="AF108" s="176"/>
      <c r="AG108" s="176"/>
      <c r="AH108" s="176"/>
      <c r="AI108" s="176"/>
      <c r="AJ108" s="176"/>
      <c r="AK108" s="176"/>
      <c r="AL108" s="176"/>
      <c r="AM108" s="176"/>
      <c r="AN108" s="183">
        <v>27331418.760000002</v>
      </c>
      <c r="AO108" s="183"/>
      <c r="AP108" s="183"/>
      <c r="AQ108" s="183"/>
      <c r="AR108" s="183"/>
      <c r="AS108" s="183"/>
      <c r="AT108" s="184"/>
      <c r="AU108" s="14"/>
    </row>
    <row r="109" spans="1:47" ht="13" x14ac:dyDescent="0.35">
      <c r="A109" s="13"/>
      <c r="B109" s="39">
        <v>2</v>
      </c>
      <c r="C109" s="179"/>
      <c r="D109" s="179"/>
      <c r="E109" s="179"/>
      <c r="F109" s="179"/>
      <c r="G109" s="179"/>
      <c r="H109" s="179"/>
      <c r="I109" s="179"/>
      <c r="J109" s="179"/>
      <c r="K109" s="179"/>
      <c r="L109" s="179"/>
      <c r="M109" s="177"/>
      <c r="N109" s="177"/>
      <c r="O109" s="177"/>
      <c r="P109" s="177"/>
      <c r="Q109" s="177"/>
      <c r="R109" s="177"/>
      <c r="S109" s="177"/>
      <c r="T109" s="177"/>
      <c r="U109" s="177"/>
      <c r="V109" s="177"/>
      <c r="W109" s="177"/>
      <c r="X109" s="179"/>
      <c r="Y109" s="179"/>
      <c r="Z109" s="179"/>
      <c r="AA109" s="179"/>
      <c r="AB109" s="179"/>
      <c r="AC109" s="179"/>
      <c r="AD109" s="179"/>
      <c r="AE109" s="179"/>
      <c r="AF109" s="179"/>
      <c r="AG109" s="179"/>
      <c r="AH109" s="179"/>
      <c r="AI109" s="179"/>
      <c r="AJ109" s="179"/>
      <c r="AK109" s="179"/>
      <c r="AL109" s="179"/>
      <c r="AM109" s="179"/>
      <c r="AN109" s="181"/>
      <c r="AO109" s="181"/>
      <c r="AP109" s="181"/>
      <c r="AQ109" s="181"/>
      <c r="AR109" s="181"/>
      <c r="AS109" s="181"/>
      <c r="AT109" s="182"/>
      <c r="AU109" s="14"/>
    </row>
    <row r="110" spans="1:47" ht="13" x14ac:dyDescent="0.35">
      <c r="A110" s="13"/>
      <c r="B110" s="39">
        <v>3</v>
      </c>
      <c r="C110" s="179"/>
      <c r="D110" s="179"/>
      <c r="E110" s="179"/>
      <c r="F110" s="179"/>
      <c r="G110" s="179"/>
      <c r="H110" s="179"/>
      <c r="I110" s="179"/>
      <c r="J110" s="179"/>
      <c r="K110" s="179"/>
      <c r="L110" s="179"/>
      <c r="M110" s="177"/>
      <c r="N110" s="177"/>
      <c r="O110" s="177"/>
      <c r="P110" s="177"/>
      <c r="Q110" s="177"/>
      <c r="R110" s="177"/>
      <c r="S110" s="177"/>
      <c r="T110" s="177"/>
      <c r="U110" s="177"/>
      <c r="V110" s="177"/>
      <c r="W110" s="177"/>
      <c r="X110" s="179"/>
      <c r="Y110" s="179"/>
      <c r="Z110" s="179"/>
      <c r="AA110" s="179"/>
      <c r="AB110" s="179"/>
      <c r="AC110" s="179"/>
      <c r="AD110" s="179"/>
      <c r="AE110" s="179"/>
      <c r="AF110" s="179"/>
      <c r="AG110" s="179"/>
      <c r="AH110" s="179"/>
      <c r="AI110" s="179"/>
      <c r="AJ110" s="179"/>
      <c r="AK110" s="179"/>
      <c r="AL110" s="179"/>
      <c r="AM110" s="179"/>
      <c r="AN110" s="181"/>
      <c r="AO110" s="181"/>
      <c r="AP110" s="181"/>
      <c r="AQ110" s="181"/>
      <c r="AR110" s="181"/>
      <c r="AS110" s="181"/>
      <c r="AT110" s="182"/>
      <c r="AU110" s="14"/>
    </row>
    <row r="111" spans="1:47" ht="12.65" customHeight="1" x14ac:dyDescent="0.35">
      <c r="A111" s="13"/>
      <c r="B111" s="39">
        <v>4</v>
      </c>
      <c r="C111" s="179"/>
      <c r="D111" s="179"/>
      <c r="E111" s="179"/>
      <c r="F111" s="179"/>
      <c r="G111" s="179"/>
      <c r="H111" s="179"/>
      <c r="I111" s="179"/>
      <c r="J111" s="179"/>
      <c r="K111" s="179"/>
      <c r="L111" s="179"/>
      <c r="M111" s="177"/>
      <c r="N111" s="177"/>
      <c r="O111" s="177"/>
      <c r="P111" s="177"/>
      <c r="Q111" s="177"/>
      <c r="R111" s="177"/>
      <c r="S111" s="177"/>
      <c r="T111" s="177"/>
      <c r="U111" s="177"/>
      <c r="V111" s="177"/>
      <c r="W111" s="177"/>
      <c r="X111" s="179"/>
      <c r="Y111" s="179"/>
      <c r="Z111" s="179"/>
      <c r="AA111" s="179"/>
      <c r="AB111" s="179"/>
      <c r="AC111" s="179"/>
      <c r="AD111" s="179"/>
      <c r="AE111" s="179"/>
      <c r="AF111" s="179"/>
      <c r="AG111" s="179"/>
      <c r="AH111" s="179"/>
      <c r="AI111" s="179"/>
      <c r="AJ111" s="179"/>
      <c r="AK111" s="179"/>
      <c r="AL111" s="179"/>
      <c r="AM111" s="179"/>
      <c r="AN111" s="181"/>
      <c r="AO111" s="181"/>
      <c r="AP111" s="181"/>
      <c r="AQ111" s="181"/>
      <c r="AR111" s="181"/>
      <c r="AS111" s="181"/>
      <c r="AT111" s="182"/>
      <c r="AU111" s="14"/>
    </row>
    <row r="112" spans="1:47" ht="12.65" customHeight="1" thickBot="1" x14ac:dyDescent="0.4">
      <c r="A112" s="13"/>
      <c r="B112" s="40">
        <v>5</v>
      </c>
      <c r="C112" s="188"/>
      <c r="D112" s="188"/>
      <c r="E112" s="188"/>
      <c r="F112" s="188"/>
      <c r="G112" s="188"/>
      <c r="H112" s="188"/>
      <c r="I112" s="188"/>
      <c r="J112" s="188"/>
      <c r="K112" s="188"/>
      <c r="L112" s="188"/>
      <c r="M112" s="178"/>
      <c r="N112" s="178"/>
      <c r="O112" s="178"/>
      <c r="P112" s="178"/>
      <c r="Q112" s="178"/>
      <c r="R112" s="178"/>
      <c r="S112" s="178"/>
      <c r="T112" s="178"/>
      <c r="U112" s="178"/>
      <c r="V112" s="178"/>
      <c r="W112" s="178"/>
      <c r="X112" s="188"/>
      <c r="Y112" s="188"/>
      <c r="Z112" s="188"/>
      <c r="AA112" s="188"/>
      <c r="AB112" s="188"/>
      <c r="AC112" s="188"/>
      <c r="AD112" s="188"/>
      <c r="AE112" s="188"/>
      <c r="AF112" s="188"/>
      <c r="AG112" s="188"/>
      <c r="AH112" s="188"/>
      <c r="AI112" s="188"/>
      <c r="AJ112" s="188"/>
      <c r="AK112" s="188"/>
      <c r="AL112" s="188"/>
      <c r="AM112" s="188"/>
      <c r="AN112" s="141"/>
      <c r="AO112" s="141"/>
      <c r="AP112" s="141"/>
      <c r="AQ112" s="141"/>
      <c r="AR112" s="141"/>
      <c r="AS112" s="141"/>
      <c r="AT112" s="142"/>
      <c r="AU112" s="14"/>
    </row>
    <row r="113" spans="1:52" ht="12.65" customHeight="1" thickBot="1" x14ac:dyDescent="0.4">
      <c r="A113" s="13"/>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4" t="s">
        <v>52</v>
      </c>
      <c r="AN113" s="185">
        <f>SUM(AN108:AT112)</f>
        <v>27331418.760000002</v>
      </c>
      <c r="AO113" s="186"/>
      <c r="AP113" s="186"/>
      <c r="AQ113" s="186"/>
      <c r="AR113" s="186"/>
      <c r="AS113" s="186"/>
      <c r="AT113" s="187"/>
      <c r="AU113" s="14"/>
    </row>
    <row r="114" spans="1:52" ht="12.65" customHeight="1" x14ac:dyDescent="0.35">
      <c r="A114" s="13"/>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189"/>
      <c r="AI114" s="189"/>
      <c r="AJ114" s="189"/>
      <c r="AK114" s="189"/>
      <c r="AL114" s="189"/>
      <c r="AM114" s="189"/>
      <c r="AN114" s="189"/>
      <c r="AO114" s="189"/>
      <c r="AP114" s="189"/>
      <c r="AQ114" s="189"/>
      <c r="AR114" s="189"/>
      <c r="AS114" s="189"/>
      <c r="AT114" s="189"/>
      <c r="AU114" s="14"/>
    </row>
    <row r="115" spans="1:52" ht="12.65" customHeight="1" x14ac:dyDescent="0.35">
      <c r="A115" s="13"/>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189"/>
      <c r="AI115" s="189"/>
      <c r="AJ115" s="189"/>
      <c r="AK115" s="189"/>
      <c r="AL115" s="189"/>
      <c r="AM115" s="189"/>
      <c r="AN115" s="189"/>
      <c r="AO115" s="189"/>
      <c r="AP115" s="189"/>
      <c r="AQ115" s="189"/>
      <c r="AR115" s="189"/>
      <c r="AS115" s="189"/>
      <c r="AT115" s="189"/>
      <c r="AU115" s="14"/>
    </row>
    <row r="116" spans="1:52" ht="12.65" customHeight="1" thickBot="1" x14ac:dyDescent="0.4">
      <c r="A116" s="13"/>
      <c r="B116" s="180" t="s">
        <v>53</v>
      </c>
      <c r="C116" s="180"/>
      <c r="D116" s="180"/>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180"/>
      <c r="AB116" s="180"/>
      <c r="AC116" s="180"/>
      <c r="AD116" s="180"/>
      <c r="AE116" s="180"/>
      <c r="AF116" s="180"/>
      <c r="AG116" s="180"/>
      <c r="AH116" s="180"/>
      <c r="AI116" s="180"/>
      <c r="AJ116" s="180"/>
      <c r="AK116" s="180"/>
      <c r="AL116" s="180"/>
      <c r="AM116" s="180"/>
      <c r="AN116" s="180"/>
      <c r="AO116" s="180"/>
      <c r="AP116" s="180"/>
      <c r="AQ116" s="180"/>
      <c r="AR116" s="180"/>
      <c r="AS116" s="180"/>
      <c r="AT116" s="180"/>
      <c r="AU116" s="14"/>
    </row>
    <row r="117" spans="1:52" s="63" customFormat="1" ht="26.25" customHeight="1" thickBot="1" x14ac:dyDescent="0.4">
      <c r="A117" s="59"/>
      <c r="B117" s="93" t="s">
        <v>21</v>
      </c>
      <c r="C117" s="159" t="s">
        <v>8</v>
      </c>
      <c r="D117" s="159"/>
      <c r="E117" s="159"/>
      <c r="F117" s="159"/>
      <c r="G117" s="159"/>
      <c r="H117" s="159" t="s">
        <v>49</v>
      </c>
      <c r="I117" s="159"/>
      <c r="J117" s="159"/>
      <c r="K117" s="159"/>
      <c r="L117" s="159"/>
      <c r="M117" s="162" t="s">
        <v>48</v>
      </c>
      <c r="N117" s="162"/>
      <c r="O117" s="162"/>
      <c r="P117" s="162" t="s">
        <v>59</v>
      </c>
      <c r="Q117" s="162"/>
      <c r="R117" s="162"/>
      <c r="S117" s="162" t="s">
        <v>50</v>
      </c>
      <c r="T117" s="162"/>
      <c r="U117" s="162"/>
      <c r="V117" s="162" t="s">
        <v>60</v>
      </c>
      <c r="W117" s="162"/>
      <c r="X117" s="159" t="s">
        <v>51</v>
      </c>
      <c r="Y117" s="159"/>
      <c r="Z117" s="159"/>
      <c r="AA117" s="159"/>
      <c r="AB117" s="159"/>
      <c r="AC117" s="159"/>
      <c r="AD117" s="159"/>
      <c r="AE117" s="159"/>
      <c r="AF117" s="159"/>
      <c r="AG117" s="159"/>
      <c r="AH117" s="159"/>
      <c r="AI117" s="159"/>
      <c r="AJ117" s="159"/>
      <c r="AK117" s="159"/>
      <c r="AL117" s="159"/>
      <c r="AM117" s="159"/>
      <c r="AN117" s="159" t="s">
        <v>11</v>
      </c>
      <c r="AO117" s="159"/>
      <c r="AP117" s="159"/>
      <c r="AQ117" s="159"/>
      <c r="AR117" s="159"/>
      <c r="AS117" s="159"/>
      <c r="AT117" s="160"/>
      <c r="AU117" s="62"/>
      <c r="AZ117" s="94">
        <f>+AN50</f>
        <v>86531419</v>
      </c>
    </row>
    <row r="118" spans="1:52" s="63" customFormat="1" ht="49.5" customHeight="1" x14ac:dyDescent="0.35">
      <c r="A118" s="59"/>
      <c r="B118" s="95">
        <v>1</v>
      </c>
      <c r="C118" s="151">
        <v>46037</v>
      </c>
      <c r="D118" s="151"/>
      <c r="E118" s="151"/>
      <c r="F118" s="151"/>
      <c r="G118" s="151"/>
      <c r="H118" s="152" t="s">
        <v>143</v>
      </c>
      <c r="I118" s="152"/>
      <c r="J118" s="152"/>
      <c r="K118" s="152"/>
      <c r="L118" s="152"/>
      <c r="M118" s="152">
        <v>27254</v>
      </c>
      <c r="N118" s="152"/>
      <c r="O118" s="152"/>
      <c r="P118" s="152">
        <v>25327</v>
      </c>
      <c r="Q118" s="152"/>
      <c r="R118" s="152"/>
      <c r="S118" s="152">
        <v>11103</v>
      </c>
      <c r="T118" s="152"/>
      <c r="U118" s="152"/>
      <c r="V118" s="152">
        <v>9646</v>
      </c>
      <c r="W118" s="152"/>
      <c r="X118" s="153" t="s">
        <v>144</v>
      </c>
      <c r="Y118" s="153"/>
      <c r="Z118" s="153"/>
      <c r="AA118" s="153"/>
      <c r="AB118" s="153"/>
      <c r="AC118" s="153"/>
      <c r="AD118" s="153"/>
      <c r="AE118" s="153"/>
      <c r="AF118" s="153"/>
      <c r="AG118" s="153"/>
      <c r="AH118" s="153"/>
      <c r="AI118" s="153"/>
      <c r="AJ118" s="153"/>
      <c r="AK118" s="153"/>
      <c r="AL118" s="153"/>
      <c r="AM118" s="153"/>
      <c r="AN118" s="173">
        <v>22200000</v>
      </c>
      <c r="AO118" s="173"/>
      <c r="AP118" s="173"/>
      <c r="AQ118" s="173"/>
      <c r="AR118" s="173"/>
      <c r="AS118" s="173"/>
      <c r="AT118" s="174"/>
      <c r="AU118" s="62"/>
      <c r="AZ118" s="94">
        <v>59200000</v>
      </c>
    </row>
    <row r="119" spans="1:52" s="63" customFormat="1" ht="12.65" customHeight="1" x14ac:dyDescent="0.35">
      <c r="A119" s="59"/>
      <c r="B119" s="61"/>
      <c r="C119" s="96"/>
      <c r="D119" s="96"/>
      <c r="E119" s="96"/>
      <c r="F119" s="96"/>
      <c r="G119" s="96"/>
      <c r="H119" s="71"/>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97"/>
      <c r="AO119" s="97"/>
      <c r="AP119" s="97"/>
      <c r="AQ119" s="97"/>
      <c r="AR119" s="97"/>
      <c r="AS119" s="97"/>
      <c r="AT119" s="97"/>
      <c r="AU119" s="62"/>
      <c r="AZ119" s="94">
        <f>+AZ117-AN113</f>
        <v>59200000.239999995</v>
      </c>
    </row>
    <row r="120" spans="1:52" s="63" customFormat="1" ht="12.65" hidden="1" customHeight="1" x14ac:dyDescent="0.35">
      <c r="A120" s="59"/>
      <c r="B120" s="169" t="s">
        <v>94</v>
      </c>
      <c r="C120" s="169"/>
      <c r="D120" s="169"/>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169"/>
      <c r="AB120" s="169"/>
      <c r="AC120" s="169"/>
      <c r="AD120" s="169"/>
      <c r="AE120" s="169"/>
      <c r="AF120" s="169"/>
      <c r="AG120" s="169"/>
      <c r="AH120" s="169"/>
      <c r="AI120" s="169"/>
      <c r="AJ120" s="169"/>
      <c r="AK120" s="169"/>
      <c r="AL120" s="169"/>
      <c r="AM120" s="169"/>
      <c r="AN120" s="169"/>
      <c r="AO120" s="169"/>
      <c r="AP120" s="169"/>
      <c r="AQ120" s="169"/>
      <c r="AR120" s="169"/>
      <c r="AS120" s="169"/>
      <c r="AT120" s="169"/>
      <c r="AU120" s="62"/>
      <c r="AZ120" s="94"/>
    </row>
    <row r="121" spans="1:52" s="63" customFormat="1" ht="12.65" hidden="1" customHeight="1" thickBot="1" x14ac:dyDescent="0.4">
      <c r="A121" s="59"/>
      <c r="B121" s="61"/>
      <c r="C121" s="96"/>
      <c r="D121" s="96"/>
      <c r="E121" s="96"/>
      <c r="F121" s="96"/>
      <c r="G121" s="96"/>
      <c r="H121" s="71"/>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97"/>
      <c r="AO121" s="97"/>
      <c r="AP121" s="97"/>
      <c r="AQ121" s="97"/>
      <c r="AR121" s="97"/>
      <c r="AS121" s="97"/>
      <c r="AT121" s="97"/>
      <c r="AU121" s="62"/>
      <c r="AZ121" s="94"/>
    </row>
    <row r="122" spans="1:52" s="63" customFormat="1" ht="28.5" hidden="1" customHeight="1" thickBot="1" x14ac:dyDescent="0.4">
      <c r="A122" s="59"/>
      <c r="B122" s="170" t="s">
        <v>93</v>
      </c>
      <c r="C122" s="171"/>
      <c r="D122" s="171"/>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171"/>
      <c r="AB122" s="171"/>
      <c r="AC122" s="171"/>
      <c r="AD122" s="171"/>
      <c r="AE122" s="171"/>
      <c r="AF122" s="171"/>
      <c r="AG122" s="171"/>
      <c r="AH122" s="171"/>
      <c r="AI122" s="171"/>
      <c r="AJ122" s="171"/>
      <c r="AK122" s="171"/>
      <c r="AL122" s="171"/>
      <c r="AM122" s="171"/>
      <c r="AN122" s="171"/>
      <c r="AO122" s="171"/>
      <c r="AP122" s="171"/>
      <c r="AQ122" s="171"/>
      <c r="AR122" s="171"/>
      <c r="AS122" s="171"/>
      <c r="AT122" s="172"/>
      <c r="AU122" s="62"/>
      <c r="AZ122" s="94"/>
    </row>
    <row r="123" spans="1:52" s="63" customFormat="1" ht="12.65" customHeight="1" thickBot="1" x14ac:dyDescent="0.4">
      <c r="A123" s="59"/>
      <c r="B123" s="61"/>
      <c r="C123" s="61"/>
      <c r="D123" s="61"/>
      <c r="E123" s="61"/>
      <c r="F123" s="61"/>
      <c r="G123" s="61"/>
      <c r="H123" s="61"/>
      <c r="I123" s="61"/>
      <c r="J123" s="61"/>
      <c r="K123" s="61"/>
      <c r="L123" s="61"/>
      <c r="M123" s="61"/>
      <c r="N123" s="61"/>
      <c r="O123" s="61"/>
      <c r="P123" s="61"/>
      <c r="Q123" s="61"/>
      <c r="R123" s="61"/>
      <c r="S123" s="61"/>
      <c r="T123" s="61"/>
      <c r="U123" s="61"/>
      <c r="V123" s="61"/>
      <c r="W123" s="61"/>
      <c r="X123" s="61"/>
      <c r="Y123" s="61"/>
      <c r="Z123" s="61"/>
      <c r="AA123" s="61"/>
      <c r="AB123" s="61"/>
      <c r="AC123" s="61"/>
      <c r="AD123" s="61"/>
      <c r="AE123" s="61"/>
      <c r="AF123" s="61"/>
      <c r="AG123" s="61"/>
      <c r="AH123" s="61"/>
      <c r="AI123" s="61"/>
      <c r="AJ123" s="61"/>
      <c r="AK123" s="61"/>
      <c r="AL123" s="61"/>
      <c r="AM123" s="98"/>
      <c r="AN123" s="99"/>
      <c r="AO123" s="99"/>
      <c r="AP123" s="99"/>
      <c r="AQ123" s="99"/>
      <c r="AR123" s="99"/>
      <c r="AS123" s="99"/>
      <c r="AT123" s="99"/>
      <c r="AU123" s="62"/>
      <c r="AZ123" s="94"/>
    </row>
    <row r="124" spans="1:52" s="63" customFormat="1" ht="35.25" customHeight="1" thickBot="1" x14ac:dyDescent="0.4">
      <c r="A124" s="59"/>
      <c r="B124" s="100"/>
      <c r="C124" s="60"/>
      <c r="D124" s="60"/>
      <c r="E124" s="60"/>
      <c r="F124" s="60"/>
      <c r="G124" s="60"/>
      <c r="H124" s="101"/>
      <c r="I124" s="161"/>
      <c r="J124" s="161"/>
      <c r="K124" s="161"/>
      <c r="L124" s="161"/>
      <c r="M124" s="161"/>
      <c r="N124" s="161"/>
      <c r="O124" s="61"/>
      <c r="P124" s="61"/>
      <c r="Q124" s="100"/>
      <c r="R124" s="61"/>
      <c r="S124" s="61"/>
      <c r="T124" s="61"/>
      <c r="U124" s="61"/>
      <c r="V124" s="61"/>
      <c r="W124" s="61"/>
      <c r="X124" s="101"/>
      <c r="Y124" s="161"/>
      <c r="Z124" s="161"/>
      <c r="AA124" s="161"/>
      <c r="AB124" s="161"/>
      <c r="AC124" s="161"/>
      <c r="AD124" s="161"/>
      <c r="AE124" s="161"/>
      <c r="AF124" s="100"/>
      <c r="AG124" s="100"/>
      <c r="AH124" s="61"/>
      <c r="AI124" s="61"/>
      <c r="AJ124" s="61"/>
      <c r="AK124" s="61"/>
      <c r="AL124" s="61"/>
      <c r="AM124" s="101" t="s">
        <v>35</v>
      </c>
      <c r="AN124" s="166">
        <f>+J37</f>
        <v>386128219</v>
      </c>
      <c r="AO124" s="167"/>
      <c r="AP124" s="167"/>
      <c r="AQ124" s="167"/>
      <c r="AR124" s="167"/>
      <c r="AS124" s="167"/>
      <c r="AT124" s="168"/>
      <c r="AU124" s="62"/>
      <c r="AZ124" s="94">
        <v>22200000</v>
      </c>
    </row>
    <row r="125" spans="1:52" s="63" customFormat="1" ht="12.65" customHeight="1" thickBot="1" x14ac:dyDescent="0.4">
      <c r="A125" s="59"/>
      <c r="B125" s="60"/>
      <c r="C125" s="60"/>
      <c r="D125" s="60"/>
      <c r="E125" s="60"/>
      <c r="F125" s="60"/>
      <c r="G125" s="60"/>
      <c r="H125" s="60"/>
      <c r="I125" s="61"/>
      <c r="J125" s="61"/>
      <c r="K125" s="61"/>
      <c r="L125" s="61"/>
      <c r="M125" s="61"/>
      <c r="N125" s="61"/>
      <c r="O125" s="61"/>
      <c r="P125" s="61"/>
      <c r="Q125" s="61"/>
      <c r="R125" s="61"/>
      <c r="S125" s="61"/>
      <c r="T125" s="61"/>
      <c r="U125" s="60"/>
      <c r="V125" s="61"/>
      <c r="W125" s="61"/>
      <c r="X125" s="61"/>
      <c r="Y125" s="61"/>
      <c r="Z125" s="61"/>
      <c r="AA125" s="61"/>
      <c r="AB125" s="61"/>
      <c r="AC125" s="61"/>
      <c r="AD125" s="61"/>
      <c r="AE125" s="61"/>
      <c r="AF125" s="100"/>
      <c r="AG125" s="61"/>
      <c r="AH125" s="61"/>
      <c r="AI125" s="61"/>
      <c r="AJ125" s="61"/>
      <c r="AK125" s="61"/>
      <c r="AL125" s="61"/>
      <c r="AM125" s="61"/>
      <c r="AN125" s="61"/>
      <c r="AO125" s="61"/>
      <c r="AP125" s="61"/>
      <c r="AQ125" s="61"/>
      <c r="AR125" s="61"/>
      <c r="AS125" s="61"/>
      <c r="AT125" s="61"/>
      <c r="AU125" s="62"/>
      <c r="AZ125" s="94"/>
    </row>
    <row r="126" spans="1:52" s="63" customFormat="1" ht="12.65" customHeight="1" thickBot="1" x14ac:dyDescent="0.4">
      <c r="A126" s="59"/>
      <c r="B126" s="60"/>
      <c r="V126" s="61"/>
      <c r="W126" s="61"/>
      <c r="Y126" s="64"/>
      <c r="Z126" s="64"/>
      <c r="AA126" s="64"/>
      <c r="AB126" s="64"/>
      <c r="AC126" s="64"/>
      <c r="AD126" s="64"/>
      <c r="AE126" s="64"/>
      <c r="AF126" s="61"/>
      <c r="AG126" s="61"/>
      <c r="AH126" s="61"/>
      <c r="AI126" s="61"/>
      <c r="AJ126" s="61"/>
      <c r="AK126" s="61"/>
      <c r="AL126" s="61"/>
      <c r="AM126" s="101" t="s">
        <v>36</v>
      </c>
      <c r="AN126" s="156">
        <f>+AN113</f>
        <v>27331418.760000002</v>
      </c>
      <c r="AO126" s="157"/>
      <c r="AP126" s="157"/>
      <c r="AQ126" s="157"/>
      <c r="AR126" s="157"/>
      <c r="AS126" s="157"/>
      <c r="AT126" s="158"/>
      <c r="AU126" s="62"/>
      <c r="AZ126" s="94">
        <f>+AZ119-AZ124</f>
        <v>37000000.239999995</v>
      </c>
    </row>
    <row r="127" spans="1:52" s="63" customFormat="1" ht="12.65" customHeight="1" thickBot="1" x14ac:dyDescent="0.4">
      <c r="A127" s="59"/>
      <c r="B127" s="67"/>
      <c r="V127" s="67"/>
      <c r="W127" s="67"/>
      <c r="X127" s="67"/>
      <c r="Y127" s="67"/>
      <c r="Z127" s="67"/>
      <c r="AA127" s="67"/>
      <c r="AB127" s="61"/>
      <c r="AC127" s="61"/>
      <c r="AD127" s="61"/>
      <c r="AE127" s="61"/>
      <c r="AF127" s="61"/>
      <c r="AG127" s="61"/>
      <c r="AH127" s="61"/>
      <c r="AI127" s="61"/>
      <c r="AJ127" s="61"/>
      <c r="AK127" s="61"/>
      <c r="AL127" s="61"/>
      <c r="AM127" s="61"/>
      <c r="AN127" s="61"/>
      <c r="AO127" s="61"/>
      <c r="AP127" s="61"/>
      <c r="AQ127" s="61"/>
      <c r="AR127" s="61"/>
      <c r="AS127" s="61"/>
      <c r="AT127" s="61"/>
      <c r="AU127" s="62"/>
      <c r="AZ127" s="94">
        <v>29600000</v>
      </c>
    </row>
    <row r="128" spans="1:52" s="63" customFormat="1" ht="12.65" customHeight="1" thickBot="1" x14ac:dyDescent="0.4">
      <c r="A128" s="59"/>
      <c r="B128" s="67"/>
      <c r="R128" s="60"/>
      <c r="S128" s="60"/>
      <c r="T128" s="61"/>
      <c r="U128" s="61"/>
      <c r="V128" s="61"/>
      <c r="W128" s="61"/>
      <c r="X128" s="61"/>
      <c r="Y128" s="61"/>
      <c r="Z128" s="61"/>
      <c r="AA128" s="67"/>
      <c r="AB128" s="61"/>
      <c r="AC128" s="61"/>
      <c r="AD128" s="61"/>
      <c r="AE128" s="61"/>
      <c r="AF128" s="61"/>
      <c r="AG128" s="61"/>
      <c r="AH128" s="61"/>
      <c r="AI128" s="61"/>
      <c r="AJ128" s="61"/>
      <c r="AK128" s="61"/>
      <c r="AL128" s="61"/>
      <c r="AM128" s="101" t="s">
        <v>38</v>
      </c>
      <c r="AN128" s="156">
        <f>SUM(AN118:AT118)</f>
        <v>22200000</v>
      </c>
      <c r="AO128" s="157"/>
      <c r="AP128" s="157"/>
      <c r="AQ128" s="157"/>
      <c r="AR128" s="157"/>
      <c r="AS128" s="157"/>
      <c r="AT128" s="158"/>
      <c r="AU128" s="62"/>
      <c r="AZ128" s="94">
        <f>+AZ126-AZ127</f>
        <v>7400000.2399999946</v>
      </c>
    </row>
    <row r="129" spans="1:62" s="63" customFormat="1" ht="12.65" customHeight="1" thickBot="1" x14ac:dyDescent="0.4">
      <c r="A129" s="59"/>
      <c r="B129" s="67"/>
      <c r="AA129" s="67"/>
      <c r="AB129" s="61"/>
      <c r="AC129" s="61"/>
      <c r="AD129" s="61"/>
      <c r="AE129" s="61"/>
      <c r="AF129" s="61"/>
      <c r="AG129" s="61"/>
      <c r="AH129" s="61"/>
      <c r="AI129" s="61"/>
      <c r="AJ129" s="61"/>
      <c r="AK129" s="61"/>
      <c r="AL129" s="61"/>
      <c r="AM129" s="61"/>
      <c r="AN129" s="61"/>
      <c r="AO129" s="61"/>
      <c r="AP129" s="61"/>
      <c r="AQ129" s="71"/>
      <c r="AR129" s="61"/>
      <c r="AS129" s="61"/>
      <c r="AT129" s="61"/>
      <c r="AU129" s="62"/>
      <c r="AZ129" s="102">
        <f>+AZ127+AZ128</f>
        <v>37000000.239999995</v>
      </c>
    </row>
    <row r="130" spans="1:62" s="63" customFormat="1" ht="12.65" customHeight="1" thickBot="1" x14ac:dyDescent="0.4">
      <c r="A130" s="59"/>
      <c r="B130" s="67"/>
      <c r="AA130" s="67"/>
      <c r="AB130" s="61"/>
      <c r="AC130" s="61"/>
      <c r="AD130" s="61"/>
      <c r="AE130" s="61"/>
      <c r="AF130" s="61"/>
      <c r="AG130" s="61"/>
      <c r="AH130" s="61"/>
      <c r="AI130" s="61"/>
      <c r="AJ130" s="61"/>
      <c r="AK130" s="61"/>
      <c r="AL130" s="61"/>
      <c r="AM130" s="101" t="s">
        <v>37</v>
      </c>
      <c r="AN130" s="156">
        <f>AN124-(AN126+AN128)</f>
        <v>336596800.24000001</v>
      </c>
      <c r="AO130" s="157"/>
      <c r="AP130" s="157"/>
      <c r="AQ130" s="157"/>
      <c r="AR130" s="157"/>
      <c r="AS130" s="157"/>
      <c r="AT130" s="158"/>
      <c r="AU130" s="62"/>
      <c r="AZ130" s="103">
        <f>+AN42</f>
        <v>29596800</v>
      </c>
    </row>
    <row r="131" spans="1:62" ht="12.65" customHeight="1" thickBot="1" x14ac:dyDescent="0.4">
      <c r="A131" s="13"/>
      <c r="B131" s="19"/>
      <c r="C131" s="19"/>
      <c r="D131" s="19"/>
      <c r="E131" s="19"/>
      <c r="F131" s="19"/>
      <c r="G131" s="19"/>
      <c r="H131" s="19"/>
      <c r="I131" s="19"/>
      <c r="J131" s="19"/>
      <c r="K131" s="19"/>
      <c r="L131" s="19"/>
      <c r="M131" s="19"/>
      <c r="N131" s="19"/>
      <c r="O131" s="19"/>
      <c r="P131" s="19"/>
      <c r="Q131" s="19"/>
      <c r="R131" s="48"/>
      <c r="S131" s="48"/>
      <c r="T131" s="2"/>
      <c r="U131" s="2"/>
      <c r="V131" s="2"/>
      <c r="W131" s="2"/>
      <c r="X131" s="2"/>
      <c r="Y131" s="2"/>
      <c r="Z131" s="2"/>
      <c r="AA131" s="19"/>
      <c r="AB131" s="2"/>
      <c r="AC131" s="2"/>
      <c r="AD131" s="2"/>
      <c r="AE131" s="2"/>
      <c r="AF131" s="2"/>
      <c r="AG131" s="2"/>
      <c r="AH131" s="2"/>
      <c r="AI131" s="2"/>
      <c r="AJ131" s="2"/>
      <c r="AK131" s="2"/>
      <c r="AL131" s="2"/>
      <c r="AM131" s="2"/>
      <c r="AN131" s="2"/>
      <c r="AO131" s="2"/>
      <c r="AP131" s="2"/>
      <c r="AQ131" s="2"/>
      <c r="AR131" s="2"/>
      <c r="AS131" s="2"/>
      <c r="AT131" s="2"/>
      <c r="AU131" s="14"/>
      <c r="AZ131" s="57">
        <f>+AZ130+AZ129</f>
        <v>66596800.239999995</v>
      </c>
    </row>
    <row r="132" spans="1:62" ht="12.65" customHeight="1" thickBot="1" x14ac:dyDescent="0.4">
      <c r="A132" s="13"/>
      <c r="B132" s="19"/>
      <c r="C132" s="19"/>
      <c r="D132" s="19"/>
      <c r="E132" s="19"/>
      <c r="F132" s="19"/>
      <c r="G132" s="19"/>
      <c r="H132" s="19"/>
      <c r="I132" s="19"/>
      <c r="J132" s="19"/>
      <c r="K132" s="19"/>
      <c r="L132" s="19"/>
      <c r="M132" s="19"/>
      <c r="N132" s="19"/>
      <c r="O132" s="19"/>
      <c r="P132" s="19"/>
      <c r="Q132" s="19"/>
      <c r="AA132" s="51"/>
      <c r="AB132" s="23"/>
      <c r="AC132" s="23"/>
      <c r="AD132" s="23"/>
      <c r="AE132" s="23"/>
      <c r="AF132" s="23"/>
      <c r="AG132" s="23"/>
      <c r="AH132" s="23"/>
      <c r="AI132" s="23"/>
      <c r="AJ132" s="23"/>
      <c r="AK132" s="23"/>
      <c r="AL132" s="23"/>
      <c r="AM132" s="24" t="s">
        <v>78</v>
      </c>
      <c r="AN132" s="163"/>
      <c r="AO132" s="164"/>
      <c r="AP132" s="164"/>
      <c r="AQ132" s="164"/>
      <c r="AR132" s="164"/>
      <c r="AS132" s="164"/>
      <c r="AT132" s="165"/>
      <c r="AU132" s="14"/>
      <c r="AZ132" s="56">
        <v>54000000</v>
      </c>
    </row>
    <row r="133" spans="1:62" ht="26.25" customHeight="1" x14ac:dyDescent="0.35">
      <c r="A133" s="13"/>
      <c r="B133" s="19"/>
      <c r="C133" s="19"/>
      <c r="D133" s="19"/>
      <c r="E133" s="19"/>
      <c r="F133" s="19"/>
      <c r="G133" s="19"/>
      <c r="H133" s="19"/>
      <c r="I133" s="19"/>
      <c r="J133" s="19"/>
      <c r="K133" s="19"/>
      <c r="L133" s="19"/>
      <c r="M133" s="19"/>
      <c r="N133" s="19"/>
      <c r="O133" s="19"/>
      <c r="P133" s="19"/>
      <c r="Q133" s="19"/>
      <c r="AA133" s="175" t="s">
        <v>97</v>
      </c>
      <c r="AB133" s="175"/>
      <c r="AC133" s="175"/>
      <c r="AD133" s="175"/>
      <c r="AE133" s="175"/>
      <c r="AF133" s="175"/>
      <c r="AG133" s="175"/>
      <c r="AH133" s="175"/>
      <c r="AI133" s="175"/>
      <c r="AJ133" s="175"/>
      <c r="AK133" s="175"/>
      <c r="AL133" s="175"/>
      <c r="AM133" s="175"/>
      <c r="AU133" s="14"/>
      <c r="AZ133" s="57">
        <f>+AZ131-AZ132</f>
        <v>12596800.239999995</v>
      </c>
    </row>
    <row r="134" spans="1:62" ht="26.25" customHeight="1" thickBot="1" x14ac:dyDescent="0.35">
      <c r="A134" s="13"/>
      <c r="W134" s="19"/>
      <c r="X134" s="19"/>
      <c r="Y134" s="19"/>
      <c r="Z134" s="19"/>
      <c r="AA134" s="19"/>
      <c r="AB134" s="2"/>
      <c r="AC134" s="2"/>
      <c r="AD134" s="2"/>
      <c r="AE134" s="2"/>
      <c r="AF134" s="2"/>
      <c r="AG134" s="2"/>
      <c r="AH134" s="2"/>
      <c r="AI134" s="2"/>
      <c r="AJ134" s="2"/>
      <c r="AK134" s="2"/>
      <c r="AL134" s="2"/>
      <c r="AM134" s="1"/>
      <c r="AN134" s="150" t="s">
        <v>58</v>
      </c>
      <c r="AO134" s="150"/>
      <c r="AP134" s="150"/>
      <c r="AQ134" s="150"/>
      <c r="AR134" s="150"/>
      <c r="AS134" s="150"/>
      <c r="AT134" s="150"/>
      <c r="AU134" s="14"/>
      <c r="AZ134" s="56">
        <v>29596800</v>
      </c>
    </row>
    <row r="135" spans="1:62" ht="15.75" customHeight="1" x14ac:dyDescent="0.3">
      <c r="A135" s="13"/>
      <c r="B135" s="416" t="s">
        <v>61</v>
      </c>
      <c r="C135" s="416"/>
      <c r="D135" s="416"/>
      <c r="E135" s="416"/>
      <c r="F135" s="416"/>
      <c r="G135" s="416"/>
      <c r="H135" s="416"/>
      <c r="I135" s="416"/>
      <c r="J135" s="416"/>
      <c r="K135" s="416"/>
      <c r="L135" s="154" t="s">
        <v>139</v>
      </c>
      <c r="M135" s="154"/>
      <c r="N135" s="154"/>
      <c r="O135" s="154"/>
      <c r="P135" s="154"/>
      <c r="Q135" s="154"/>
      <c r="R135" s="154"/>
      <c r="S135" s="154"/>
      <c r="T135" s="154"/>
      <c r="U135" s="154"/>
      <c r="V135" s="154"/>
      <c r="W135" s="31"/>
      <c r="X135" s="33" t="s">
        <v>82</v>
      </c>
      <c r="Y135" s="32"/>
      <c r="Z135" s="32"/>
      <c r="AA135" s="32"/>
      <c r="AB135" s="50"/>
      <c r="AC135" s="50"/>
      <c r="AD135" s="50"/>
      <c r="AE135" s="50"/>
      <c r="AF135" s="50"/>
      <c r="AG135" s="50"/>
      <c r="AH135" s="50"/>
      <c r="AI135" s="50"/>
      <c r="AJ135" s="50"/>
      <c r="AK135" s="50"/>
      <c r="AL135" s="50"/>
      <c r="AM135" s="31"/>
      <c r="AN135" s="404"/>
      <c r="AO135" s="405"/>
      <c r="AP135" s="405"/>
      <c r="AQ135" s="405"/>
      <c r="AR135" s="405"/>
      <c r="AS135" s="405"/>
      <c r="AT135" s="406"/>
      <c r="AU135" s="14"/>
      <c r="AZ135" s="56">
        <f>+AZ134/1.19</f>
        <v>24871260.50420168</v>
      </c>
    </row>
    <row r="136" spans="1:62" ht="15.75" customHeight="1" x14ac:dyDescent="0.35">
      <c r="A136" s="13"/>
      <c r="B136" s="397" t="s">
        <v>62</v>
      </c>
      <c r="C136" s="397"/>
      <c r="D136" s="397"/>
      <c r="E136" s="397"/>
      <c r="F136" s="397"/>
      <c r="G136" s="397"/>
      <c r="H136" s="397"/>
      <c r="I136" s="397"/>
      <c r="J136" s="397"/>
      <c r="K136" s="397"/>
      <c r="L136" s="155"/>
      <c r="M136" s="155"/>
      <c r="N136" s="155"/>
      <c r="O136" s="155"/>
      <c r="P136" s="155"/>
      <c r="Q136" s="155"/>
      <c r="R136" s="155"/>
      <c r="S136" s="155"/>
      <c r="T136" s="155"/>
      <c r="U136" s="155"/>
      <c r="V136" s="155"/>
      <c r="W136" s="31"/>
      <c r="X136" s="55" t="s">
        <v>80</v>
      </c>
      <c r="Y136" s="55"/>
      <c r="Z136" s="55"/>
      <c r="AA136" s="55"/>
      <c r="AB136" s="55"/>
      <c r="AC136" s="55"/>
      <c r="AD136" s="31"/>
      <c r="AE136" s="399">
        <v>44275</v>
      </c>
      <c r="AF136" s="400"/>
      <c r="AG136" s="50"/>
      <c r="AH136" s="50"/>
      <c r="AI136" s="50"/>
      <c r="AJ136" s="50"/>
      <c r="AK136" s="50"/>
      <c r="AL136" s="50"/>
      <c r="AM136" s="31"/>
      <c r="AN136" s="407"/>
      <c r="AO136" s="408"/>
      <c r="AP136" s="408"/>
      <c r="AQ136" s="408"/>
      <c r="AR136" s="408"/>
      <c r="AS136" s="408"/>
      <c r="AT136" s="409"/>
      <c r="AU136" s="14"/>
      <c r="AZ136" s="56">
        <v>59200000</v>
      </c>
    </row>
    <row r="137" spans="1:62" ht="15.75" customHeight="1" thickBot="1" x14ac:dyDescent="0.4">
      <c r="A137" s="13"/>
      <c r="B137" s="397" t="s">
        <v>63</v>
      </c>
      <c r="C137" s="397"/>
      <c r="D137" s="397"/>
      <c r="E137" s="397"/>
      <c r="F137" s="397"/>
      <c r="G137" s="397"/>
      <c r="H137" s="397"/>
      <c r="I137" s="397"/>
      <c r="J137" s="397"/>
      <c r="K137" s="397"/>
      <c r="L137" s="155" t="s">
        <v>140</v>
      </c>
      <c r="M137" s="155"/>
      <c r="N137" s="155"/>
      <c r="O137" s="155"/>
      <c r="P137" s="155"/>
      <c r="Q137" s="155"/>
      <c r="R137" s="155"/>
      <c r="S137" s="155"/>
      <c r="T137" s="155"/>
      <c r="U137" s="155"/>
      <c r="V137" s="155"/>
      <c r="W137" s="32"/>
      <c r="X137" s="55" t="s">
        <v>81</v>
      </c>
      <c r="Y137" s="55"/>
      <c r="Z137" s="55"/>
      <c r="AA137" s="55"/>
      <c r="AB137" s="55"/>
      <c r="AC137" s="55"/>
      <c r="AD137" s="31"/>
      <c r="AE137" s="399" t="s">
        <v>136</v>
      </c>
      <c r="AF137" s="400"/>
      <c r="AG137" s="50"/>
      <c r="AH137" s="50"/>
      <c r="AI137" s="50"/>
      <c r="AJ137" s="50"/>
      <c r="AK137" s="50"/>
      <c r="AL137" s="50"/>
      <c r="AM137" s="31"/>
      <c r="AN137" s="410"/>
      <c r="AO137" s="411"/>
      <c r="AP137" s="411"/>
      <c r="AQ137" s="411"/>
      <c r="AR137" s="411"/>
      <c r="AS137" s="411"/>
      <c r="AT137" s="412"/>
      <c r="AU137" s="14"/>
      <c r="AZ137" s="56">
        <f>+AZ136/1.19</f>
        <v>49747899.159663871</v>
      </c>
    </row>
    <row r="138" spans="1:62" ht="12.65" customHeight="1" x14ac:dyDescent="0.35">
      <c r="A138" s="13"/>
      <c r="B138" s="31"/>
      <c r="C138" s="32"/>
      <c r="D138" s="32"/>
      <c r="E138" s="32"/>
      <c r="F138" s="32"/>
      <c r="G138" s="32"/>
      <c r="H138" s="32"/>
      <c r="I138" s="32"/>
      <c r="J138" s="32"/>
      <c r="K138" s="32"/>
      <c r="L138" s="32"/>
      <c r="M138" s="32"/>
      <c r="N138" s="31"/>
      <c r="O138" s="31"/>
      <c r="P138" s="31"/>
      <c r="Q138" s="32"/>
      <c r="R138" s="32"/>
      <c r="S138" s="32"/>
      <c r="T138" s="32"/>
      <c r="U138" s="32"/>
      <c r="V138" s="32"/>
      <c r="W138" s="32"/>
      <c r="X138" s="32"/>
      <c r="Y138" s="31"/>
      <c r="Z138" s="31"/>
      <c r="AA138" s="31"/>
      <c r="AB138" s="31"/>
      <c r="AC138" s="31"/>
      <c r="AD138" s="31"/>
      <c r="AE138" s="31"/>
      <c r="AF138" s="50"/>
      <c r="AG138" s="50"/>
      <c r="AH138" s="50"/>
      <c r="AI138" s="50"/>
      <c r="AJ138" s="50"/>
      <c r="AK138" s="50"/>
      <c r="AL138" s="50"/>
      <c r="AM138" s="31"/>
      <c r="AN138" s="52"/>
      <c r="AO138" s="52"/>
      <c r="AP138" s="52"/>
      <c r="AQ138" s="52"/>
      <c r="AR138" s="52"/>
      <c r="AS138" s="52"/>
      <c r="AT138" s="52"/>
      <c r="AU138" s="14"/>
    </row>
    <row r="139" spans="1:62" s="31" customFormat="1" ht="15.75" customHeight="1" x14ac:dyDescent="0.35">
      <c r="A139" s="29"/>
      <c r="B139" s="32"/>
      <c r="U139" s="32"/>
      <c r="V139" s="32"/>
      <c r="W139" s="32"/>
      <c r="AB139" s="50"/>
      <c r="AC139" s="50"/>
      <c r="AD139" s="50"/>
      <c r="AE139" s="50"/>
      <c r="AF139" s="50"/>
      <c r="AG139" s="50"/>
      <c r="AH139" s="50"/>
      <c r="AI139" s="50"/>
      <c r="AJ139" s="50"/>
      <c r="AK139" s="50"/>
      <c r="AL139" s="50"/>
      <c r="AN139" s="52"/>
      <c r="AO139" s="52"/>
      <c r="AP139" s="52"/>
      <c r="AQ139" s="52"/>
      <c r="AR139" s="52"/>
      <c r="AS139" s="52"/>
      <c r="AT139" s="52"/>
      <c r="AU139" s="30"/>
    </row>
    <row r="140" spans="1:62" s="31" customFormat="1" ht="5.25" hidden="1" customHeight="1" x14ac:dyDescent="0.35">
      <c r="A140" s="29"/>
      <c r="B140" s="19"/>
      <c r="U140" s="19"/>
      <c r="V140" s="19"/>
      <c r="W140" s="19"/>
      <c r="X140" s="19"/>
      <c r="Y140" s="19"/>
      <c r="Z140" s="19"/>
      <c r="AA140" s="19"/>
      <c r="AB140" s="2"/>
      <c r="AC140" s="2"/>
      <c r="AD140" s="2"/>
      <c r="AE140" s="2"/>
      <c r="AF140" s="2"/>
      <c r="AG140" s="2"/>
      <c r="AH140" s="2"/>
      <c r="AI140" s="2"/>
      <c r="AJ140" s="2"/>
      <c r="AK140" s="2"/>
      <c r="AL140" s="2"/>
      <c r="AM140" s="2"/>
      <c r="AN140" s="2"/>
      <c r="AO140" s="2"/>
      <c r="AP140" s="2"/>
      <c r="AQ140" s="2"/>
      <c r="AR140" s="2"/>
      <c r="AS140" s="2"/>
      <c r="AT140" s="2"/>
      <c r="AU140" s="30"/>
    </row>
    <row r="141" spans="1:62" ht="12.65" customHeight="1" x14ac:dyDescent="0.35">
      <c r="A141" s="13"/>
      <c r="B141" s="48"/>
      <c r="C141" s="48"/>
      <c r="D141" s="48"/>
      <c r="E141" s="48"/>
      <c r="F141" s="48"/>
      <c r="G141" s="48"/>
      <c r="H141" s="48"/>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14"/>
    </row>
    <row r="142" spans="1:62" ht="12.65" customHeight="1" x14ac:dyDescent="0.35">
      <c r="A142" s="13"/>
      <c r="B142" s="396" t="s">
        <v>99</v>
      </c>
      <c r="C142" s="396"/>
      <c r="D142" s="396"/>
      <c r="E142" s="396"/>
      <c r="F142" s="396"/>
      <c r="G142" s="396"/>
      <c r="H142" s="396"/>
      <c r="I142" s="396"/>
      <c r="J142" s="396"/>
      <c r="K142" s="396"/>
      <c r="L142" s="396"/>
      <c r="M142" s="396"/>
      <c r="N142" s="396"/>
      <c r="O142" s="396"/>
      <c r="P142" s="396"/>
      <c r="Q142" s="396"/>
      <c r="R142" s="396"/>
      <c r="S142" s="396"/>
      <c r="T142" s="396"/>
      <c r="U142" s="396"/>
      <c r="V142" s="396"/>
      <c r="W142" s="396"/>
      <c r="X142" s="396"/>
      <c r="Y142" s="396"/>
      <c r="Z142" s="1"/>
      <c r="AA142" s="1"/>
      <c r="AB142" s="1"/>
      <c r="AC142" s="4"/>
      <c r="AD142" s="395" t="s">
        <v>55</v>
      </c>
      <c r="AE142" s="395"/>
      <c r="AF142" s="395"/>
      <c r="AG142" s="395"/>
      <c r="AH142" s="395"/>
      <c r="AI142" s="395"/>
      <c r="AJ142" s="395"/>
      <c r="AK142" s="395"/>
      <c r="AL142" s="395"/>
      <c r="AM142" s="395"/>
      <c r="AN142" s="395"/>
      <c r="AO142" s="395"/>
      <c r="AP142" s="395"/>
      <c r="AQ142" s="395"/>
      <c r="AR142" s="395"/>
      <c r="AS142" s="395"/>
      <c r="AT142" s="25"/>
      <c r="AU142" s="14"/>
    </row>
    <row r="143" spans="1:62" ht="12.65" customHeight="1" x14ac:dyDescent="0.35">
      <c r="A143" s="13"/>
      <c r="B143" s="396"/>
      <c r="C143" s="396"/>
      <c r="D143" s="396"/>
      <c r="E143" s="396"/>
      <c r="F143" s="396"/>
      <c r="G143" s="396"/>
      <c r="H143" s="396"/>
      <c r="I143" s="396"/>
      <c r="J143" s="396"/>
      <c r="K143" s="396"/>
      <c r="L143" s="396"/>
      <c r="M143" s="396"/>
      <c r="N143" s="396"/>
      <c r="O143" s="396"/>
      <c r="P143" s="396"/>
      <c r="Q143" s="396"/>
      <c r="R143" s="396"/>
      <c r="S143" s="396"/>
      <c r="T143" s="396"/>
      <c r="U143" s="396"/>
      <c r="V143" s="396"/>
      <c r="W143" s="396"/>
      <c r="X143" s="396"/>
      <c r="Y143" s="396"/>
      <c r="Z143" s="1"/>
      <c r="AA143" s="1"/>
      <c r="AB143" s="2"/>
      <c r="AC143" s="4"/>
      <c r="AD143" s="395"/>
      <c r="AE143" s="395"/>
      <c r="AF143" s="395"/>
      <c r="AG143" s="395"/>
      <c r="AH143" s="395"/>
      <c r="AI143" s="395"/>
      <c r="AJ143" s="395"/>
      <c r="AK143" s="395"/>
      <c r="AL143" s="395"/>
      <c r="AM143" s="395"/>
      <c r="AN143" s="395"/>
      <c r="AO143" s="395"/>
      <c r="AP143" s="395"/>
      <c r="AQ143" s="395"/>
      <c r="AR143" s="395"/>
      <c r="AS143" s="395"/>
      <c r="AT143" s="25"/>
      <c r="AU143" s="14"/>
    </row>
    <row r="144" spans="1:62" ht="11.25" customHeight="1" x14ac:dyDescent="0.35">
      <c r="A144" s="13"/>
      <c r="B144" s="396"/>
      <c r="C144" s="396"/>
      <c r="D144" s="396"/>
      <c r="E144" s="396"/>
      <c r="F144" s="396"/>
      <c r="G144" s="396"/>
      <c r="H144" s="396"/>
      <c r="I144" s="396"/>
      <c r="J144" s="396"/>
      <c r="K144" s="396"/>
      <c r="L144" s="396"/>
      <c r="M144" s="396"/>
      <c r="N144" s="396"/>
      <c r="O144" s="396"/>
      <c r="P144" s="396"/>
      <c r="Q144" s="396"/>
      <c r="R144" s="396"/>
      <c r="S144" s="396"/>
      <c r="T144" s="396"/>
      <c r="U144" s="396"/>
      <c r="V144" s="396"/>
      <c r="W144" s="396"/>
      <c r="X144" s="396"/>
      <c r="Y144" s="396"/>
      <c r="Z144" s="1"/>
      <c r="AA144" s="1"/>
      <c r="AB144" s="2"/>
      <c r="AC144" s="4"/>
      <c r="AD144" s="395"/>
      <c r="AE144" s="395"/>
      <c r="AF144" s="395"/>
      <c r="AG144" s="395"/>
      <c r="AH144" s="395"/>
      <c r="AI144" s="395"/>
      <c r="AJ144" s="395"/>
      <c r="AK144" s="395"/>
      <c r="AL144" s="395"/>
      <c r="AM144" s="395"/>
      <c r="AN144" s="395"/>
      <c r="AO144" s="395"/>
      <c r="AP144" s="395"/>
      <c r="AQ144" s="395"/>
      <c r="AR144" s="395"/>
      <c r="AS144" s="395"/>
      <c r="AT144" s="25"/>
      <c r="AU144" s="14"/>
      <c r="BJ144" s="3" t="s">
        <v>75</v>
      </c>
    </row>
    <row r="145" spans="1:47" s="31" customFormat="1" ht="12.65" customHeight="1" x14ac:dyDescent="0.35">
      <c r="A145" s="29"/>
      <c r="B145" s="396"/>
      <c r="C145" s="396"/>
      <c r="D145" s="396"/>
      <c r="E145" s="396"/>
      <c r="F145" s="396"/>
      <c r="G145" s="396"/>
      <c r="H145" s="396"/>
      <c r="I145" s="396"/>
      <c r="J145" s="396"/>
      <c r="K145" s="396"/>
      <c r="L145" s="396"/>
      <c r="M145" s="396"/>
      <c r="N145" s="396"/>
      <c r="O145" s="396"/>
      <c r="P145" s="396"/>
      <c r="Q145" s="396"/>
      <c r="R145" s="396"/>
      <c r="S145" s="396"/>
      <c r="T145" s="396"/>
      <c r="U145" s="396"/>
      <c r="V145" s="396"/>
      <c r="W145" s="396"/>
      <c r="X145" s="396"/>
      <c r="Y145" s="396"/>
      <c r="Z145" s="1"/>
      <c r="AA145" s="1"/>
      <c r="AB145" s="2"/>
      <c r="AC145" s="4"/>
      <c r="AD145" s="395"/>
      <c r="AE145" s="395"/>
      <c r="AF145" s="395"/>
      <c r="AG145" s="395"/>
      <c r="AH145" s="395"/>
      <c r="AI145" s="395"/>
      <c r="AJ145" s="395"/>
      <c r="AK145" s="395"/>
      <c r="AL145" s="395"/>
      <c r="AM145" s="395"/>
      <c r="AN145" s="395"/>
      <c r="AO145" s="395"/>
      <c r="AP145" s="395"/>
      <c r="AQ145" s="395"/>
      <c r="AR145" s="395"/>
      <c r="AS145" s="395"/>
      <c r="AT145" s="25"/>
      <c r="AU145" s="30"/>
    </row>
    <row r="146" spans="1:47" s="31" customFormat="1" ht="12.65" customHeight="1" thickBot="1" x14ac:dyDescent="0.4">
      <c r="A146" s="29"/>
      <c r="B146" s="396"/>
      <c r="C146" s="396"/>
      <c r="D146" s="396"/>
      <c r="E146" s="396"/>
      <c r="F146" s="396"/>
      <c r="G146" s="396"/>
      <c r="H146" s="396"/>
      <c r="I146" s="396"/>
      <c r="J146" s="396"/>
      <c r="K146" s="396"/>
      <c r="L146" s="396"/>
      <c r="M146" s="396"/>
      <c r="N146" s="396"/>
      <c r="O146" s="396"/>
      <c r="P146" s="396"/>
      <c r="Q146" s="396"/>
      <c r="R146" s="396"/>
      <c r="S146" s="396"/>
      <c r="T146" s="396"/>
      <c r="U146" s="396"/>
      <c r="V146" s="396"/>
      <c r="W146" s="396"/>
      <c r="X146" s="396"/>
      <c r="Y146" s="396"/>
      <c r="Z146" s="1"/>
      <c r="AA146" s="1"/>
      <c r="AB146" s="2"/>
      <c r="AC146" s="4" t="s">
        <v>39</v>
      </c>
      <c r="AD146" s="398"/>
      <c r="AE146" s="398"/>
      <c r="AF146" s="398"/>
      <c r="AG146" s="398"/>
      <c r="AH146" s="398"/>
      <c r="AI146" s="398"/>
      <c r="AJ146" s="398"/>
      <c r="AK146" s="398"/>
      <c r="AL146" s="398"/>
      <c r="AM146" s="398"/>
      <c r="AN146" s="398"/>
      <c r="AO146" s="398"/>
      <c r="AP146" s="398"/>
      <c r="AQ146" s="398"/>
      <c r="AR146" s="398"/>
      <c r="AS146" s="398"/>
      <c r="AT146" s="25"/>
      <c r="AU146" s="30"/>
    </row>
    <row r="147" spans="1:47" s="31" customFormat="1" ht="12.65" customHeight="1" x14ac:dyDescent="0.35">
      <c r="A147" s="29"/>
      <c r="B147" s="396"/>
      <c r="C147" s="396"/>
      <c r="D147" s="396"/>
      <c r="E147" s="396"/>
      <c r="F147" s="396"/>
      <c r="G147" s="396"/>
      <c r="H147" s="396"/>
      <c r="I147" s="396"/>
      <c r="J147" s="396"/>
      <c r="K147" s="396"/>
      <c r="L147" s="396"/>
      <c r="M147" s="396"/>
      <c r="N147" s="396"/>
      <c r="O147" s="396"/>
      <c r="P147" s="396"/>
      <c r="Q147" s="396"/>
      <c r="R147" s="396"/>
      <c r="S147" s="396"/>
      <c r="T147" s="396"/>
      <c r="U147" s="396"/>
      <c r="V147" s="396"/>
      <c r="W147" s="396"/>
      <c r="X147" s="396"/>
      <c r="Y147" s="396"/>
      <c r="Z147" s="1"/>
      <c r="AA147" s="1"/>
      <c r="AB147" s="2"/>
      <c r="AC147" s="4" t="s">
        <v>40</v>
      </c>
      <c r="AD147" s="119" t="s">
        <v>141</v>
      </c>
      <c r="AE147" s="119"/>
      <c r="AF147" s="119"/>
      <c r="AG147" s="119"/>
      <c r="AH147" s="119"/>
      <c r="AI147" s="119"/>
      <c r="AJ147" s="119"/>
      <c r="AK147" s="119"/>
      <c r="AL147" s="119"/>
      <c r="AM147" s="119"/>
      <c r="AN147" s="119"/>
      <c r="AO147" s="119"/>
      <c r="AP147" s="119"/>
      <c r="AQ147" s="119"/>
      <c r="AR147" s="119"/>
      <c r="AS147" s="119"/>
      <c r="AT147" s="2"/>
      <c r="AU147" s="30"/>
    </row>
    <row r="148" spans="1:47" s="31" customFormat="1" ht="12.65" customHeight="1" x14ac:dyDescent="0.35">
      <c r="A148" s="29"/>
      <c r="B148" s="396"/>
      <c r="C148" s="396"/>
      <c r="D148" s="396"/>
      <c r="E148" s="396"/>
      <c r="F148" s="396"/>
      <c r="G148" s="396"/>
      <c r="H148" s="396"/>
      <c r="I148" s="396"/>
      <c r="J148" s="396"/>
      <c r="K148" s="396"/>
      <c r="L148" s="396"/>
      <c r="M148" s="396"/>
      <c r="N148" s="396"/>
      <c r="O148" s="396"/>
      <c r="P148" s="396"/>
      <c r="Q148" s="396"/>
      <c r="R148" s="396"/>
      <c r="S148" s="396"/>
      <c r="T148" s="396"/>
      <c r="U148" s="396"/>
      <c r="V148" s="396"/>
      <c r="W148" s="396"/>
      <c r="X148" s="396"/>
      <c r="Y148" s="396"/>
      <c r="Z148" s="1"/>
      <c r="AA148" s="1"/>
      <c r="AB148" s="2"/>
      <c r="AC148" s="4" t="s">
        <v>41</v>
      </c>
      <c r="AD148" s="119" t="s">
        <v>145</v>
      </c>
      <c r="AE148" s="119"/>
      <c r="AF148" s="119"/>
      <c r="AG148" s="119"/>
      <c r="AH148" s="119"/>
      <c r="AI148" s="119"/>
      <c r="AJ148" s="119"/>
      <c r="AK148" s="119"/>
      <c r="AL148" s="119"/>
      <c r="AM148" s="119"/>
      <c r="AN148" s="119"/>
      <c r="AO148" s="119"/>
      <c r="AP148" s="119"/>
      <c r="AQ148" s="119"/>
      <c r="AR148" s="119"/>
      <c r="AS148" s="119"/>
      <c r="AT148" s="2"/>
      <c r="AU148" s="30"/>
    </row>
    <row r="149" spans="1:47" ht="12.65" customHeight="1" x14ac:dyDescent="0.35">
      <c r="A149" s="13"/>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2"/>
      <c r="AC149" s="4" t="s">
        <v>101</v>
      </c>
      <c r="AD149" s="413">
        <v>46038</v>
      </c>
      <c r="AE149" s="119"/>
      <c r="AF149" s="119"/>
      <c r="AG149" s="119"/>
      <c r="AH149" s="119"/>
      <c r="AI149" s="119"/>
      <c r="AJ149" s="119"/>
      <c r="AK149" s="119"/>
      <c r="AL149" s="119"/>
      <c r="AM149" s="119"/>
      <c r="AN149" s="119"/>
      <c r="AO149" s="119"/>
      <c r="AP149" s="119"/>
      <c r="AQ149" s="119"/>
      <c r="AR149" s="119"/>
      <c r="AS149" s="119"/>
      <c r="AT149" s="2"/>
      <c r="AU149" s="14"/>
    </row>
    <row r="150" spans="1:47" ht="12.65" customHeight="1" x14ac:dyDescent="0.35">
      <c r="A150" s="13"/>
      <c r="B150" s="48"/>
      <c r="C150" s="48"/>
      <c r="D150" s="48"/>
      <c r="E150" s="48"/>
      <c r="F150" s="48"/>
      <c r="G150" s="48"/>
      <c r="H150" s="48"/>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14"/>
    </row>
    <row r="151" spans="1:47" ht="12.65" customHeight="1" thickBot="1" x14ac:dyDescent="0.4">
      <c r="A151" s="15"/>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16"/>
    </row>
    <row r="152" spans="1:47" ht="12.65" customHeight="1" x14ac:dyDescent="0.35">
      <c r="A152" s="42"/>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c r="AG152" s="43"/>
      <c r="AH152" s="43"/>
      <c r="AI152" s="43"/>
      <c r="AJ152" s="43"/>
      <c r="AK152" s="43"/>
      <c r="AL152" s="43"/>
      <c r="AM152" s="43"/>
      <c r="AN152" s="43"/>
      <c r="AO152" s="43"/>
      <c r="AP152" s="43"/>
      <c r="AQ152" s="43"/>
      <c r="AR152" s="43"/>
      <c r="AS152" s="43"/>
      <c r="AT152" s="43"/>
      <c r="AU152" s="44"/>
    </row>
    <row r="153" spans="1:47" ht="12.65" customHeight="1" x14ac:dyDescent="0.35">
      <c r="A153" s="363" t="s">
        <v>76</v>
      </c>
      <c r="B153" s="364"/>
      <c r="C153" s="364"/>
      <c r="D153" s="364"/>
      <c r="E153" s="364"/>
      <c r="F153" s="364"/>
      <c r="G153" s="364"/>
      <c r="H153" s="364"/>
      <c r="I153" s="364"/>
      <c r="J153" s="364"/>
      <c r="K153" s="364"/>
      <c r="L153" s="364"/>
      <c r="M153" s="364"/>
      <c r="N153" s="364"/>
      <c r="O153" s="364"/>
      <c r="P153" s="364"/>
      <c r="Q153" s="364"/>
      <c r="R153" s="364"/>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5"/>
    </row>
    <row r="154" spans="1:47" ht="309.75" customHeight="1" x14ac:dyDescent="0.35">
      <c r="A154" s="401" t="s">
        <v>83</v>
      </c>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402"/>
      <c r="AQ154" s="402"/>
      <c r="AR154" s="402"/>
      <c r="AS154" s="402"/>
      <c r="AT154" s="402"/>
      <c r="AU154" s="403"/>
    </row>
    <row r="155" spans="1:47" ht="246.75" customHeight="1" x14ac:dyDescent="0.35">
      <c r="A155" s="414" t="s">
        <v>92</v>
      </c>
      <c r="B155" s="396"/>
      <c r="C155" s="396"/>
      <c r="D155" s="396"/>
      <c r="E155" s="396"/>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6"/>
      <c r="AQ155" s="396"/>
      <c r="AR155" s="396"/>
      <c r="AS155" s="396"/>
      <c r="AT155" s="396"/>
      <c r="AU155" s="415"/>
    </row>
    <row r="156" spans="1:47" ht="110.25" customHeight="1" thickBot="1" x14ac:dyDescent="0.4">
      <c r="A156" s="392" t="s">
        <v>91</v>
      </c>
      <c r="B156" s="393"/>
      <c r="C156" s="393"/>
      <c r="D156" s="393"/>
      <c r="E156" s="393"/>
      <c r="F156" s="393"/>
      <c r="G156" s="393"/>
      <c r="H156" s="393"/>
      <c r="I156" s="393"/>
      <c r="J156" s="393"/>
      <c r="K156" s="393"/>
      <c r="L156" s="393"/>
      <c r="M156" s="393"/>
      <c r="N156" s="393"/>
      <c r="O156" s="393"/>
      <c r="P156" s="393"/>
      <c r="Q156" s="393"/>
      <c r="R156" s="393"/>
      <c r="S156" s="393"/>
      <c r="T156" s="393"/>
      <c r="U156" s="393"/>
      <c r="V156" s="393"/>
      <c r="W156" s="393"/>
      <c r="X156" s="393"/>
      <c r="Y156" s="393"/>
      <c r="Z156" s="393"/>
      <c r="AA156" s="393"/>
      <c r="AB156" s="393"/>
      <c r="AC156" s="393"/>
      <c r="AD156" s="393"/>
      <c r="AE156" s="393"/>
      <c r="AF156" s="393"/>
      <c r="AG156" s="393"/>
      <c r="AH156" s="393"/>
      <c r="AI156" s="393"/>
      <c r="AJ156" s="393"/>
      <c r="AK156" s="393"/>
      <c r="AL156" s="393"/>
      <c r="AM156" s="393"/>
      <c r="AN156" s="393"/>
      <c r="AO156" s="393"/>
      <c r="AP156" s="393"/>
      <c r="AQ156" s="393"/>
      <c r="AR156" s="393"/>
      <c r="AS156" s="393"/>
      <c r="AT156" s="393"/>
      <c r="AU156" s="394"/>
    </row>
  </sheetData>
  <mergeCells count="464">
    <mergeCell ref="C107:G107"/>
    <mergeCell ref="V107:W107"/>
    <mergeCell ref="X107:AM107"/>
    <mergeCell ref="H107:L107"/>
    <mergeCell ref="M107:O107"/>
    <mergeCell ref="B106:AT106"/>
    <mergeCell ref="H108:L108"/>
    <mergeCell ref="C111:G111"/>
    <mergeCell ref="V111:W111"/>
    <mergeCell ref="P107:R107"/>
    <mergeCell ref="S107:U107"/>
    <mergeCell ref="A156:AU156"/>
    <mergeCell ref="AD148:AS148"/>
    <mergeCell ref="AD147:AS147"/>
    <mergeCell ref="AD145:AS145"/>
    <mergeCell ref="AD144:AS144"/>
    <mergeCell ref="B142:Y148"/>
    <mergeCell ref="B136:K136"/>
    <mergeCell ref="B137:K137"/>
    <mergeCell ref="AD146:AS146"/>
    <mergeCell ref="AD143:AS143"/>
    <mergeCell ref="AD142:AS142"/>
    <mergeCell ref="L137:V137"/>
    <mergeCell ref="AE137:AF137"/>
    <mergeCell ref="A154:AU154"/>
    <mergeCell ref="AN135:AT137"/>
    <mergeCell ref="AD149:AS149"/>
    <mergeCell ref="AE136:AF136"/>
    <mergeCell ref="A155:AU155"/>
    <mergeCell ref="B135:K135"/>
    <mergeCell ref="X53:AM53"/>
    <mergeCell ref="AN53:AT53"/>
    <mergeCell ref="C54:H54"/>
    <mergeCell ref="I54:P54"/>
    <mergeCell ref="Q54:W54"/>
    <mergeCell ref="X54:AM54"/>
    <mergeCell ref="AN54:AT54"/>
    <mergeCell ref="B72:E72"/>
    <mergeCell ref="F72:U72"/>
    <mergeCell ref="V72:W72"/>
    <mergeCell ref="X72:Z72"/>
    <mergeCell ref="C62:H62"/>
    <mergeCell ref="AN61:AT61"/>
    <mergeCell ref="V70:W71"/>
    <mergeCell ref="AJ70:AT71"/>
    <mergeCell ref="AN65:AT65"/>
    <mergeCell ref="AD70:AF71"/>
    <mergeCell ref="AG70:AI71"/>
    <mergeCell ref="N64:AC64"/>
    <mergeCell ref="AD65:AH65"/>
    <mergeCell ref="I63:M63"/>
    <mergeCell ref="AI63:AM63"/>
    <mergeCell ref="J69:AI69"/>
    <mergeCell ref="AI61:AM61"/>
    <mergeCell ref="C50:H50"/>
    <mergeCell ref="I50:P50"/>
    <mergeCell ref="Q50:W50"/>
    <mergeCell ref="N65:AC65"/>
    <mergeCell ref="I62:M62"/>
    <mergeCell ref="AN64:AT64"/>
    <mergeCell ref="AI65:AM65"/>
    <mergeCell ref="A153:AU153"/>
    <mergeCell ref="AN43:AT43"/>
    <mergeCell ref="B59:AT59"/>
    <mergeCell ref="AN44:AT44"/>
    <mergeCell ref="B57:AT57"/>
    <mergeCell ref="AN45:AT45"/>
    <mergeCell ref="I44:P44"/>
    <mergeCell ref="C45:H45"/>
    <mergeCell ref="I45:P45"/>
    <mergeCell ref="AD60:AH60"/>
    <mergeCell ref="AI60:AM60"/>
    <mergeCell ref="C43:H43"/>
    <mergeCell ref="AN55:AT55"/>
    <mergeCell ref="AN52:AT52"/>
    <mergeCell ref="C53:H53"/>
    <mergeCell ref="I53:P53"/>
    <mergeCell ref="Q53:W53"/>
    <mergeCell ref="AG17:AH17"/>
    <mergeCell ref="AI17:AJ17"/>
    <mergeCell ref="M17:R17"/>
    <mergeCell ref="Z17:AD17"/>
    <mergeCell ref="H23:V23"/>
    <mergeCell ref="AC23:AG23"/>
    <mergeCell ref="B35:AT35"/>
    <mergeCell ref="W28:AA28"/>
    <mergeCell ref="AB28:AG28"/>
    <mergeCell ref="AB30:AG30"/>
    <mergeCell ref="C29:H29"/>
    <mergeCell ref="AN32:AT32"/>
    <mergeCell ref="AE17:AF17"/>
    <mergeCell ref="AB32:AG32"/>
    <mergeCell ref="B17:L17"/>
    <mergeCell ref="S17:T17"/>
    <mergeCell ref="U17:V17"/>
    <mergeCell ref="W17:X17"/>
    <mergeCell ref="B23:G23"/>
    <mergeCell ref="B24:G24"/>
    <mergeCell ref="AN23:AT23"/>
    <mergeCell ref="AN28:AT28"/>
    <mergeCell ref="R31:U31"/>
    <mergeCell ref="B20:AT20"/>
    <mergeCell ref="R29:U29"/>
    <mergeCell ref="I30:K30"/>
    <mergeCell ref="AH30:AM30"/>
    <mergeCell ref="AN30:AT30"/>
    <mergeCell ref="M28:P28"/>
    <mergeCell ref="W30:AA30"/>
    <mergeCell ref="AH23:AM23"/>
    <mergeCell ref="I29:K29"/>
    <mergeCell ref="R28:U28"/>
    <mergeCell ref="C30:H30"/>
    <mergeCell ref="C28:H28"/>
    <mergeCell ref="I28:K28"/>
    <mergeCell ref="AN24:AT24"/>
    <mergeCell ref="B22:AT22"/>
    <mergeCell ref="W29:AA29"/>
    <mergeCell ref="AB29:AG29"/>
    <mergeCell ref="AH29:AM29"/>
    <mergeCell ref="AN29:AT29"/>
    <mergeCell ref="H24:P24"/>
    <mergeCell ref="W24:AB24"/>
    <mergeCell ref="W23:AB23"/>
    <mergeCell ref="AH24:AM24"/>
    <mergeCell ref="B26:AT26"/>
    <mergeCell ref="M30:P30"/>
    <mergeCell ref="R30:U30"/>
    <mergeCell ref="AH28:AM28"/>
    <mergeCell ref="I27:V27"/>
    <mergeCell ref="W27:AA27"/>
    <mergeCell ref="AB27:AG27"/>
    <mergeCell ref="AH27:AM27"/>
    <mergeCell ref="AN27:AT27"/>
    <mergeCell ref="C27:H27"/>
    <mergeCell ref="M29:P29"/>
    <mergeCell ref="B13:H13"/>
    <mergeCell ref="B7:H7"/>
    <mergeCell ref="I7:AB7"/>
    <mergeCell ref="AD7:AJ7"/>
    <mergeCell ref="B8:H8"/>
    <mergeCell ref="B9:H9"/>
    <mergeCell ref="I9:AB9"/>
    <mergeCell ref="AK9:AT9"/>
    <mergeCell ref="AI9:AJ9"/>
    <mergeCell ref="B10:H10"/>
    <mergeCell ref="I10:AB10"/>
    <mergeCell ref="AI10:AJ10"/>
    <mergeCell ref="AK10:AT10"/>
    <mergeCell ref="I13:AT15"/>
    <mergeCell ref="AS2:AT2"/>
    <mergeCell ref="AQ2:AR2"/>
    <mergeCell ref="AO2:AP2"/>
    <mergeCell ref="B5:AT5"/>
    <mergeCell ref="AK8:AT8"/>
    <mergeCell ref="AK7:AT7"/>
    <mergeCell ref="AD8:AJ8"/>
    <mergeCell ref="I8:AB8"/>
    <mergeCell ref="J2:AK3"/>
    <mergeCell ref="I31:K31"/>
    <mergeCell ref="AN31:AT31"/>
    <mergeCell ref="M31:P31"/>
    <mergeCell ref="AN40:AT40"/>
    <mergeCell ref="C31:H31"/>
    <mergeCell ref="C32:H32"/>
    <mergeCell ref="AH31:AM31"/>
    <mergeCell ref="W32:AA32"/>
    <mergeCell ref="J37:AL37"/>
    <mergeCell ref="X40:AM40"/>
    <mergeCell ref="C40:H40"/>
    <mergeCell ref="W31:AA31"/>
    <mergeCell ref="AB31:AG31"/>
    <mergeCell ref="I32:K32"/>
    <mergeCell ref="M32:P32"/>
    <mergeCell ref="R32:U32"/>
    <mergeCell ref="AH32:AM32"/>
    <mergeCell ref="B39:AT39"/>
    <mergeCell ref="I40:P40"/>
    <mergeCell ref="Q40:W40"/>
    <mergeCell ref="C33:H33"/>
    <mergeCell ref="I33:K33"/>
    <mergeCell ref="M33:P33"/>
    <mergeCell ref="R33:U33"/>
    <mergeCell ref="AN41:AT41"/>
    <mergeCell ref="X41:AM41"/>
    <mergeCell ref="AN46:AT46"/>
    <mergeCell ref="X45:AM45"/>
    <mergeCell ref="AN60:AT60"/>
    <mergeCell ref="I61:M61"/>
    <mergeCell ref="X42:AM42"/>
    <mergeCell ref="N60:AC60"/>
    <mergeCell ref="Q42:W42"/>
    <mergeCell ref="I43:P43"/>
    <mergeCell ref="Q43:W43"/>
    <mergeCell ref="X43:AM43"/>
    <mergeCell ref="X44:AM44"/>
    <mergeCell ref="Q41:W41"/>
    <mergeCell ref="X50:AM50"/>
    <mergeCell ref="AN50:AT50"/>
    <mergeCell ref="I51:P51"/>
    <mergeCell ref="Q51:W51"/>
    <mergeCell ref="X51:AM51"/>
    <mergeCell ref="AN51:AT51"/>
    <mergeCell ref="I52:P52"/>
    <mergeCell ref="Q52:W52"/>
    <mergeCell ref="B48:AT48"/>
    <mergeCell ref="C44:H44"/>
    <mergeCell ref="AN42:AT42"/>
    <mergeCell ref="C60:H60"/>
    <mergeCell ref="AD61:AH61"/>
    <mergeCell ref="AD64:AH64"/>
    <mergeCell ref="N62:AC62"/>
    <mergeCell ref="N63:AC63"/>
    <mergeCell ref="Q44:W44"/>
    <mergeCell ref="I60:M60"/>
    <mergeCell ref="Q45:W45"/>
    <mergeCell ref="C61:H61"/>
    <mergeCell ref="C51:H51"/>
    <mergeCell ref="C52:H52"/>
    <mergeCell ref="X52:AM52"/>
    <mergeCell ref="AN62:AT62"/>
    <mergeCell ref="AD62:AH62"/>
    <mergeCell ref="AI64:AM64"/>
    <mergeCell ref="AI62:AM62"/>
    <mergeCell ref="AD63:AH63"/>
    <mergeCell ref="N61:AC61"/>
    <mergeCell ref="C49:H49"/>
    <mergeCell ref="I49:P49"/>
    <mergeCell ref="Q49:W49"/>
    <mergeCell ref="X49:AM49"/>
    <mergeCell ref="AN49:AT49"/>
    <mergeCell ref="AN63:AT63"/>
    <mergeCell ref="B96:AT98"/>
    <mergeCell ref="C63:H63"/>
    <mergeCell ref="B70:E71"/>
    <mergeCell ref="F70:U71"/>
    <mergeCell ref="X70:Z71"/>
    <mergeCell ref="AA70:AC71"/>
    <mergeCell ref="B68:AT68"/>
    <mergeCell ref="I65:M65"/>
    <mergeCell ref="C64:H64"/>
    <mergeCell ref="I64:M64"/>
    <mergeCell ref="B91:AT91"/>
    <mergeCell ref="B90:AT90"/>
    <mergeCell ref="C65:H65"/>
    <mergeCell ref="AA72:AC72"/>
    <mergeCell ref="AD72:AF72"/>
    <mergeCell ref="AG72:AI72"/>
    <mergeCell ref="AJ72:AT72"/>
    <mergeCell ref="X78:Z78"/>
    <mergeCell ref="AA78:AC78"/>
    <mergeCell ref="AD78:AF78"/>
    <mergeCell ref="AG78:AI78"/>
    <mergeCell ref="AJ78:AT78"/>
    <mergeCell ref="AJ77:AT77"/>
    <mergeCell ref="AN130:AT130"/>
    <mergeCell ref="B116:AT116"/>
    <mergeCell ref="AN111:AT111"/>
    <mergeCell ref="AN108:AT108"/>
    <mergeCell ref="AN113:AT113"/>
    <mergeCell ref="AN110:AT110"/>
    <mergeCell ref="X112:AM112"/>
    <mergeCell ref="C112:G112"/>
    <mergeCell ref="H111:L111"/>
    <mergeCell ref="H112:L112"/>
    <mergeCell ref="S111:U111"/>
    <mergeCell ref="X111:AM111"/>
    <mergeCell ref="S112:U112"/>
    <mergeCell ref="C110:G110"/>
    <mergeCell ref="X117:AM117"/>
    <mergeCell ref="H117:L117"/>
    <mergeCell ref="AH114:AT115"/>
    <mergeCell ref="H109:L109"/>
    <mergeCell ref="M112:O112"/>
    <mergeCell ref="H110:L110"/>
    <mergeCell ref="AN109:AT109"/>
    <mergeCell ref="M110:O110"/>
    <mergeCell ref="C108:G108"/>
    <mergeCell ref="C109:G109"/>
    <mergeCell ref="AA133:AM133"/>
    <mergeCell ref="X108:AM108"/>
    <mergeCell ref="P108:R108"/>
    <mergeCell ref="S108:U108"/>
    <mergeCell ref="V108:W108"/>
    <mergeCell ref="M109:O109"/>
    <mergeCell ref="P109:R109"/>
    <mergeCell ref="S109:U109"/>
    <mergeCell ref="V109:W109"/>
    <mergeCell ref="M108:O108"/>
    <mergeCell ref="V112:W112"/>
    <mergeCell ref="M118:O118"/>
    <mergeCell ref="P112:R112"/>
    <mergeCell ref="X110:AM110"/>
    <mergeCell ref="P110:R110"/>
    <mergeCell ref="S110:U110"/>
    <mergeCell ref="V110:W110"/>
    <mergeCell ref="M111:O111"/>
    <mergeCell ref="P111:R111"/>
    <mergeCell ref="X109:AM109"/>
    <mergeCell ref="AN134:AT134"/>
    <mergeCell ref="C118:G118"/>
    <mergeCell ref="H118:L118"/>
    <mergeCell ref="X118:AM118"/>
    <mergeCell ref="L135:V135"/>
    <mergeCell ref="L136:V136"/>
    <mergeCell ref="AN128:AT128"/>
    <mergeCell ref="AN126:AT126"/>
    <mergeCell ref="AN117:AT117"/>
    <mergeCell ref="S118:U118"/>
    <mergeCell ref="Y124:AE124"/>
    <mergeCell ref="V118:W118"/>
    <mergeCell ref="C117:G117"/>
    <mergeCell ref="M117:O117"/>
    <mergeCell ref="P117:R117"/>
    <mergeCell ref="S117:U117"/>
    <mergeCell ref="V117:W117"/>
    <mergeCell ref="I124:N124"/>
    <mergeCell ref="AN132:AT132"/>
    <mergeCell ref="AN124:AT124"/>
    <mergeCell ref="B120:AT120"/>
    <mergeCell ref="B122:AT122"/>
    <mergeCell ref="P118:R118"/>
    <mergeCell ref="AN118:AT118"/>
    <mergeCell ref="B104:AT104"/>
    <mergeCell ref="B73:E73"/>
    <mergeCell ref="F73:U73"/>
    <mergeCell ref="V73:W73"/>
    <mergeCell ref="X73:Z73"/>
    <mergeCell ref="AA73:AC73"/>
    <mergeCell ref="AD73:AF73"/>
    <mergeCell ref="AG73:AI73"/>
    <mergeCell ref="AJ73:AT73"/>
    <mergeCell ref="B94:AT94"/>
    <mergeCell ref="AA76:AC76"/>
    <mergeCell ref="AD76:AF76"/>
    <mergeCell ref="AG76:AI76"/>
    <mergeCell ref="AJ76:AT76"/>
    <mergeCell ref="B77:E77"/>
    <mergeCell ref="F77:U77"/>
    <mergeCell ref="V77:W77"/>
    <mergeCell ref="X77:Z77"/>
    <mergeCell ref="AA77:AC77"/>
    <mergeCell ref="AD77:AF77"/>
    <mergeCell ref="AG77:AI77"/>
    <mergeCell ref="B79:E79"/>
    <mergeCell ref="F79:U79"/>
    <mergeCell ref="V79:W79"/>
    <mergeCell ref="AN112:AT112"/>
    <mergeCell ref="B74:E74"/>
    <mergeCell ref="F74:U74"/>
    <mergeCell ref="V74:W74"/>
    <mergeCell ref="X74:Z74"/>
    <mergeCell ref="AA74:AC74"/>
    <mergeCell ref="AD74:AF74"/>
    <mergeCell ref="AG74:AI74"/>
    <mergeCell ref="AJ74:AT74"/>
    <mergeCell ref="B75:E75"/>
    <mergeCell ref="F75:U75"/>
    <mergeCell ref="V75:W75"/>
    <mergeCell ref="X75:Z75"/>
    <mergeCell ref="AA75:AC75"/>
    <mergeCell ref="AD75:AF75"/>
    <mergeCell ref="AG75:AI75"/>
    <mergeCell ref="AJ75:AT75"/>
    <mergeCell ref="B76:E76"/>
    <mergeCell ref="B100:AT100"/>
    <mergeCell ref="B102:AT102"/>
    <mergeCell ref="AN107:AT107"/>
    <mergeCell ref="F76:U76"/>
    <mergeCell ref="V76:W76"/>
    <mergeCell ref="X76:Z76"/>
    <mergeCell ref="X79:Z79"/>
    <mergeCell ref="AA79:AC79"/>
    <mergeCell ref="AD79:AF79"/>
    <mergeCell ref="B78:E78"/>
    <mergeCell ref="F78:U78"/>
    <mergeCell ref="V78:W78"/>
    <mergeCell ref="AG79:AI79"/>
    <mergeCell ref="AJ79:AT79"/>
    <mergeCell ref="B80:E80"/>
    <mergeCell ref="F80:U80"/>
    <mergeCell ref="V80:W80"/>
    <mergeCell ref="X80:Z80"/>
    <mergeCell ref="AA80:AC80"/>
    <mergeCell ref="AD80:AF80"/>
    <mergeCell ref="AG80:AI80"/>
    <mergeCell ref="AJ80:AT80"/>
    <mergeCell ref="F81:U81"/>
    <mergeCell ref="V81:W81"/>
    <mergeCell ref="X81:Z81"/>
    <mergeCell ref="AA81:AC81"/>
    <mergeCell ref="AD81:AF81"/>
    <mergeCell ref="AG81:AI81"/>
    <mergeCell ref="AJ81:AT81"/>
    <mergeCell ref="B82:E82"/>
    <mergeCell ref="F82:U82"/>
    <mergeCell ref="V82:W82"/>
    <mergeCell ref="X82:Z82"/>
    <mergeCell ref="AA82:AC82"/>
    <mergeCell ref="AD82:AF82"/>
    <mergeCell ref="AG82:AI82"/>
    <mergeCell ref="AJ82:AT82"/>
    <mergeCell ref="B81:E81"/>
    <mergeCell ref="V86:W86"/>
    <mergeCell ref="X86:Z86"/>
    <mergeCell ref="AA86:AC86"/>
    <mergeCell ref="AD86:AF86"/>
    <mergeCell ref="AG86:AI86"/>
    <mergeCell ref="AJ86:AT86"/>
    <mergeCell ref="AJ83:AT83"/>
    <mergeCell ref="B84:E84"/>
    <mergeCell ref="F84:U84"/>
    <mergeCell ref="V84:W84"/>
    <mergeCell ref="X84:Z84"/>
    <mergeCell ref="AA84:AC84"/>
    <mergeCell ref="AD84:AF84"/>
    <mergeCell ref="AG84:AI84"/>
    <mergeCell ref="AJ84:AT84"/>
    <mergeCell ref="AA83:AC83"/>
    <mergeCell ref="AD83:AF83"/>
    <mergeCell ref="AG83:AI83"/>
    <mergeCell ref="AJ85:AT85"/>
    <mergeCell ref="B86:E86"/>
    <mergeCell ref="F86:U86"/>
    <mergeCell ref="AJ89:AT89"/>
    <mergeCell ref="B87:E87"/>
    <mergeCell ref="F87:U87"/>
    <mergeCell ref="V87:W87"/>
    <mergeCell ref="X87:Z87"/>
    <mergeCell ref="AA87:AC87"/>
    <mergeCell ref="AD87:AF87"/>
    <mergeCell ref="AG87:AI87"/>
    <mergeCell ref="AJ87:AT87"/>
    <mergeCell ref="B88:E88"/>
    <mergeCell ref="F88:U88"/>
    <mergeCell ref="V88:W88"/>
    <mergeCell ref="X88:Z88"/>
    <mergeCell ref="AA88:AC88"/>
    <mergeCell ref="AD88:AF88"/>
    <mergeCell ref="AG88:AI88"/>
    <mergeCell ref="AJ88:AT88"/>
    <mergeCell ref="W33:AA33"/>
    <mergeCell ref="AB33:AG33"/>
    <mergeCell ref="AH33:AM33"/>
    <mergeCell ref="AN33:AT33"/>
    <mergeCell ref="I41:P42"/>
    <mergeCell ref="C41:H42"/>
    <mergeCell ref="B89:E89"/>
    <mergeCell ref="F89:U89"/>
    <mergeCell ref="V89:W89"/>
    <mergeCell ref="X89:Z89"/>
    <mergeCell ref="AA89:AC89"/>
    <mergeCell ref="AD89:AF89"/>
    <mergeCell ref="AG89:AI89"/>
    <mergeCell ref="B85:E85"/>
    <mergeCell ref="F85:U85"/>
    <mergeCell ref="V85:W85"/>
    <mergeCell ref="X85:Z85"/>
    <mergeCell ref="AA85:AC85"/>
    <mergeCell ref="AD85:AF85"/>
    <mergeCell ref="AG85:AI85"/>
    <mergeCell ref="B83:E83"/>
    <mergeCell ref="F83:U83"/>
    <mergeCell ref="V83:W83"/>
    <mergeCell ref="X83:Z83"/>
  </mergeCells>
  <phoneticPr fontId="2" type="noConversion"/>
  <printOptions horizontalCentered="1"/>
  <pageMargins left="0.23622047244094491" right="0.23622047244094491" top="0.74803149606299213" bottom="0.74803149606299213" header="0.31496062992125984" footer="0.31496062992125984"/>
  <pageSetup scale="66" fitToHeight="0" orientation="portrait" r:id="rId1"/>
  <headerFooter>
    <oddFooter>&amp;L&amp;9FR-GAD-02-017&amp;R&amp;9VERSIÓN 6</oddFooter>
  </headerFooter>
  <rowBreaks count="2" manualBreakCount="2">
    <brk id="89" max="46" man="1"/>
    <brk id="151" max="16383" man="1"/>
  </rowBreaks>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2</vt:i4>
      </vt:variant>
    </vt:vector>
  </HeadingPairs>
  <TitlesOfParts>
    <vt:vector size="3" baseType="lpstr">
      <vt:lpstr>FR-GAD-02-017</vt:lpstr>
      <vt:lpstr>'FR-GAD-02-017'!Área_de_impresión</vt:lpstr>
      <vt:lpstr>'FR-GAD-02-017'!Títulos_a_imprimir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fcharris</dc:creator>
  <cp:lastModifiedBy>Correa Correa Sebastian</cp:lastModifiedBy>
  <cp:lastPrinted>2025-11-28T13:30:26Z</cp:lastPrinted>
  <dcterms:created xsi:type="dcterms:W3CDTF">2011-09-30T15:32:45Z</dcterms:created>
  <dcterms:modified xsi:type="dcterms:W3CDTF">2026-02-02T16:02:36Z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