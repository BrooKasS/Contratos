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https://fiduprevisora-my.sharepoint.com/personal/p_scorrea_fiduprevisora_com_co/Documents/Escritorio/contratos-dashboard/backend/"/>
    </mc:Choice>
  </mc:AlternateContent>
  <xr:revisionPtr revIDLastSave="67" documentId="8_{124AC31D-8F94-41B4-BB91-46C4C59DB29F}" xr6:coauthVersionLast="47" xr6:coauthVersionMax="47" xr10:uidLastSave="{8E6D8DAB-7878-40AC-BD83-3F3E44EE2A76}"/>
  <bookViews>
    <workbookView xWindow="-110" yWindow="-110" windowWidth="19420" windowHeight="10300" xr2:uid="{00000000-000D-0000-FFFF-FFFF00000000}"/>
  </bookViews>
  <sheets>
    <sheet name="FR-GAD-02-017" sheetId="1" r:id="rId1"/>
  </sheets>
  <definedNames>
    <definedName name="_xlnm.Print_Area" localSheetId="0">'FR-GAD-02-017'!$A$1:$AU$156</definedName>
    <definedName name="_xlnm.Print_Titles" localSheetId="0">'FR-GAD-02-017'!$1:$4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N128" i="1" l="1"/>
  <c r="AN126" i="1"/>
  <c r="AZ119" i="1"/>
  <c r="AN55" i="1" l="1"/>
  <c r="AZ137" i="1"/>
  <c r="AZ135" i="1"/>
  <c r="AZ130" i="1"/>
  <c r="AZ126" i="1"/>
  <c r="AZ128" i="1" s="1"/>
  <c r="AZ129" i="1" s="1"/>
  <c r="AZ131" i="1" s="1"/>
  <c r="AZ133" i="1" s="1"/>
  <c r="AZ117" i="1"/>
  <c r="AN46" i="1"/>
  <c r="J37" i="1"/>
  <c r="AN113" i="1"/>
  <c r="AN124" i="1" l="1"/>
  <c r="AN13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Guanarita Gomez Juan Sebastian</author>
    <author>Castro Bueno Francy Paola</author>
    <author>Merchan Bautista Walter Ricardo</author>
  </authors>
  <commentList>
    <comment ref="AK7" authorId="0" shapeId="0" xr:uid="{00000000-0006-0000-0000-000001000000}">
      <text>
        <r>
          <rPr>
            <b/>
            <sz val="9"/>
            <color indexed="81"/>
            <rFont val="Tahoma"/>
            <family val="2"/>
          </rPr>
          <t>Guanarita Gomez Juan Sebastian:</t>
        </r>
        <r>
          <rPr>
            <sz val="9"/>
            <color indexed="81"/>
            <rFont val="Tahoma"/>
            <family val="2"/>
          </rPr>
          <t xml:space="preserve">
Área del supervisor (Dirección o Gerencia)</t>
        </r>
      </text>
    </comment>
    <comment ref="I13" authorId="0" shapeId="0" xr:uid="{00000000-0006-0000-0000-000002000000}">
      <text>
        <r>
          <rPr>
            <b/>
            <sz val="9"/>
            <color indexed="81"/>
            <rFont val="Tahoma"/>
            <family val="2"/>
          </rPr>
          <t>Guanarita Gomez Juan Sebastian:</t>
        </r>
        <r>
          <rPr>
            <sz val="9"/>
            <color indexed="81"/>
            <rFont val="Tahoma"/>
            <family val="2"/>
          </rPr>
          <t xml:space="preserve">
Transcripción del Objeto del Contrato</t>
        </r>
      </text>
    </comment>
    <comment ref="H23" authorId="1" shapeId="0" xr:uid="{00000000-0006-0000-0000-000006000000}">
      <text>
        <r>
          <rPr>
            <b/>
            <sz val="9"/>
            <color indexed="81"/>
            <rFont val="Tahoma"/>
            <family val="2"/>
          </rPr>
          <t xml:space="preserve">Castro Bueno Francy Paola:
</t>
        </r>
        <r>
          <rPr>
            <sz val="9"/>
            <color indexed="81"/>
            <rFont val="Tahoma"/>
            <family val="2"/>
          </rPr>
          <t>En la duración del contrato se debe ingresar lo pactado en el contrato (meses, días, años, hasta el 31 de dic/22, por ejemplo.</t>
        </r>
      </text>
    </comment>
    <comment ref="W23" authorId="0" shapeId="0" xr:uid="{A9F35707-D699-44AC-A16B-18532A211DE8}">
      <text>
        <r>
          <rPr>
            <b/>
            <sz val="9"/>
            <color indexed="81"/>
            <rFont val="Tahoma"/>
            <family val="2"/>
          </rPr>
          <t>Guanarita Gomez Juan Sebastian:</t>
        </r>
        <r>
          <rPr>
            <sz val="9"/>
            <color indexed="81"/>
            <rFont val="Tahoma"/>
            <family val="2"/>
          </rPr>
          <t xml:space="preserve">
Acta de Inicio según aplique.</t>
        </r>
      </text>
    </comment>
    <comment ref="AH23" authorId="2" shapeId="0" xr:uid="{A86E97CF-1E50-4A1F-8E1D-78517E7BAD31}">
      <text>
        <r>
          <rPr>
            <b/>
            <sz val="9"/>
            <color indexed="81"/>
            <rFont val="Tahoma"/>
            <family val="2"/>
          </rPr>
          <t>Merchan Bautista Walter Ricardo:</t>
        </r>
        <r>
          <rPr>
            <sz val="9"/>
            <color indexed="81"/>
            <rFont val="Tahoma"/>
            <family val="2"/>
          </rPr>
          <t xml:space="preserve">
corresponde a la fecha de terminación del contrato inicial</t>
        </r>
      </text>
    </comment>
    <comment ref="AH27" authorId="2" shapeId="0" xr:uid="{B600A3F4-F469-45AB-B992-508840C9423F}">
      <text>
        <r>
          <rPr>
            <b/>
            <sz val="9"/>
            <color indexed="81"/>
            <rFont val="Tahoma"/>
            <family val="2"/>
          </rPr>
          <t>Merchan Bautista Walter Ricardo:</t>
        </r>
        <r>
          <rPr>
            <sz val="9"/>
            <color indexed="81"/>
            <rFont val="Tahoma"/>
            <family val="2"/>
          </rPr>
          <t xml:space="preserve">
corresponde a la fecha de terminación de cada otrosí</t>
        </r>
      </text>
    </comment>
    <comment ref="J37" authorId="0" shapeId="0" xr:uid="{00000000-0006-0000-0000-00000A000000}">
      <text>
        <r>
          <rPr>
            <b/>
            <sz val="9"/>
            <color indexed="81"/>
            <rFont val="Tahoma"/>
            <family val="2"/>
          </rPr>
          <t>Guanarita Gomez Juan Sebastian:</t>
        </r>
        <r>
          <rPr>
            <sz val="9"/>
            <color indexed="81"/>
            <rFont val="Tahoma"/>
            <family val="2"/>
          </rPr>
          <t xml:space="preserve">
Valor del contrato incluido adiciones</t>
        </r>
      </text>
    </comment>
    <comment ref="B39" authorId="1" shapeId="0" xr:uid="{00000000-0006-0000-0000-00000B000000}">
      <text>
        <r>
          <rPr>
            <b/>
            <sz val="9"/>
            <color indexed="81"/>
            <rFont val="Tahoma"/>
            <family val="2"/>
          </rPr>
          <t>Castro Bueno Francy Paola:</t>
        </r>
        <r>
          <rPr>
            <sz val="9"/>
            <color indexed="81"/>
            <rFont val="Tahoma"/>
            <family val="2"/>
          </rPr>
          <t xml:space="preserve">
Relacionar la totalidad de CDP expedidos en la ejecución del contrato, incluyendo traslados presupuestales|</t>
        </r>
      </text>
    </comment>
    <comment ref="B48" authorId="1" shapeId="0" xr:uid="{00000000-0006-0000-0000-00000C000000}">
      <text>
        <r>
          <rPr>
            <b/>
            <sz val="9"/>
            <color indexed="81"/>
            <rFont val="Tahoma"/>
            <family val="2"/>
          </rPr>
          <t>Castro Bueno Francy Paola:</t>
        </r>
        <r>
          <rPr>
            <sz val="9"/>
            <color indexed="81"/>
            <rFont val="Tahoma"/>
            <family val="2"/>
          </rPr>
          <t xml:space="preserve">
Relacionar la totalidad de CRP expedidos en la ejecución del contrato, incluyendo traslados presupuestales|
Walter Merchán: Es procedente aclarar cuando un CRP está reemplazando uno anterior por vencimiento.</t>
        </r>
      </text>
    </comment>
    <comment ref="AN55" authorId="1" shapeId="0" xr:uid="{00000000-0006-0000-0000-00000D000000}">
      <text>
        <r>
          <rPr>
            <b/>
            <sz val="9"/>
            <color indexed="81"/>
            <rFont val="Tahoma"/>
            <family val="2"/>
          </rPr>
          <t xml:space="preserve">Castro Bueno Francy Paola:
</t>
        </r>
        <r>
          <rPr>
            <sz val="9"/>
            <color indexed="81"/>
            <rFont val="Tahoma"/>
            <family val="2"/>
          </rPr>
          <t>Si el valor total de CRP supera o es inferor al pactado en el contrato, se requiere hacer la claridad en el espacio de Observaciones</t>
        </r>
        <r>
          <rPr>
            <b/>
            <sz val="9"/>
            <color indexed="81"/>
            <rFont val="Tahoma"/>
            <family val="2"/>
          </rPr>
          <t>.</t>
        </r>
      </text>
    </comment>
    <comment ref="B59" authorId="0" shapeId="0" xr:uid="{00000000-0006-0000-0000-00000E000000}">
      <text>
        <r>
          <rPr>
            <b/>
            <sz val="9"/>
            <color indexed="81"/>
            <rFont val="Tahoma"/>
            <family val="2"/>
          </rPr>
          <t>Guanarita Gomez Juan Sebastian:</t>
        </r>
        <r>
          <rPr>
            <sz val="9"/>
            <color indexed="81"/>
            <rFont val="Tahoma"/>
            <family val="2"/>
          </rPr>
          <t xml:space="preserve">
Ultimo tramite contractual (Contrato, Otrosí)</t>
        </r>
      </text>
    </comment>
    <comment ref="B68" authorId="0" shapeId="0" xr:uid="{00000000-0006-0000-0000-00000F000000}">
      <text>
        <r>
          <rPr>
            <b/>
            <sz val="9"/>
            <color indexed="81"/>
            <rFont val="Tahoma"/>
            <family val="2"/>
          </rPr>
          <t>Guanarita Gomez Juan Sebastian:</t>
        </r>
        <r>
          <rPr>
            <sz val="9"/>
            <color indexed="81"/>
            <rFont val="Tahoma"/>
            <family val="2"/>
          </rPr>
          <t xml:space="preserve">
Todas las obligaciones de la clausula CUARTA del contrato (GENERALES y ESPECIFICAS)</t>
        </r>
      </text>
    </comment>
    <comment ref="B91" authorId="0" shapeId="0" xr:uid="{00000000-0006-0000-0000-000011000000}">
      <text>
        <r>
          <rPr>
            <b/>
            <sz val="9"/>
            <color indexed="81"/>
            <rFont val="Tahoma"/>
            <family val="2"/>
          </rPr>
          <t>Guanarita Gomez Juan Sebastian:</t>
        </r>
        <r>
          <rPr>
            <sz val="9"/>
            <color indexed="81"/>
            <rFont val="Tahoma"/>
            <family val="2"/>
          </rPr>
          <t xml:space="preserve">
Dejar las anotaciones frentes a los incumplimientosde las obligaciones (Aplica para las obligaciones que no cumple, cumple minimamente y cumple parcialmente)</t>
        </r>
      </text>
    </comment>
    <comment ref="B94" authorId="0" shapeId="0" xr:uid="{7E54E2B3-EF47-4466-A5AD-5EFAD0CA083F}">
      <text>
        <r>
          <rPr>
            <b/>
            <sz val="9"/>
            <color indexed="81"/>
            <rFont val="Tahoma"/>
            <family val="2"/>
          </rPr>
          <t>Guanarita Gomez Juan Sebastian:</t>
        </r>
        <r>
          <rPr>
            <sz val="9"/>
            <color indexed="81"/>
            <rFont val="Tahoma"/>
            <family val="2"/>
          </rPr>
          <t xml:space="preserve">
Aplica para Desempeño Deficiente</t>
        </r>
      </text>
    </comment>
  </commentList>
</comments>
</file>

<file path=xl/sharedStrings.xml><?xml version="1.0" encoding="utf-8"?>
<sst xmlns="http://schemas.openxmlformats.org/spreadsheetml/2006/main" count="226" uniqueCount="151">
  <si>
    <t>I.- GENERALIDADES DEL CONTRATO</t>
  </si>
  <si>
    <t>No. Contrato:</t>
  </si>
  <si>
    <t>Contratista:</t>
  </si>
  <si>
    <t>No.</t>
  </si>
  <si>
    <t>Representante Legal:</t>
  </si>
  <si>
    <t>Dependencia:</t>
  </si>
  <si>
    <t>Valor indeterminado:</t>
  </si>
  <si>
    <t>Número</t>
  </si>
  <si>
    <t>Fecha</t>
  </si>
  <si>
    <t>Código</t>
  </si>
  <si>
    <t>Rubro</t>
  </si>
  <si>
    <t>Valor</t>
  </si>
  <si>
    <t>CERTIFICADOS DE DISPONIBILIDAD PRESUPUESTAL</t>
  </si>
  <si>
    <t>C.C.</t>
  </si>
  <si>
    <t>Valor total Certificados de Disponibilidad Presupuestal:</t>
  </si>
  <si>
    <t>Tipo Otrosí:</t>
  </si>
  <si>
    <t>Adición</t>
  </si>
  <si>
    <t>Prórroga</t>
  </si>
  <si>
    <t>Modificación</t>
  </si>
  <si>
    <t>Duración</t>
  </si>
  <si>
    <t>Fecha Fin</t>
  </si>
  <si>
    <t>No</t>
  </si>
  <si>
    <t>III.- VALORES</t>
  </si>
  <si>
    <t>IV.- GARANTÍAS DEL CONTRATO</t>
  </si>
  <si>
    <t>Fecha Inicio</t>
  </si>
  <si>
    <t>II.- DURACIÓN, ADICIONES, PRORROGAS Y MODIFICACIONES AL CONTRATO</t>
  </si>
  <si>
    <t>OTROSÍES AL CONTRATO</t>
  </si>
  <si>
    <t>Fecha terminación</t>
  </si>
  <si>
    <t>Si</t>
  </si>
  <si>
    <t>Aseguradora</t>
  </si>
  <si>
    <t>No. Póliza</t>
  </si>
  <si>
    <t>Vigencia Inicio</t>
  </si>
  <si>
    <t>Valor asegurado</t>
  </si>
  <si>
    <t>Objeto del contrato:</t>
  </si>
  <si>
    <t>Nit.</t>
  </si>
  <si>
    <t xml:space="preserve">Valor total del contrato: </t>
  </si>
  <si>
    <t xml:space="preserve">Valor pagado antes de este informe: </t>
  </si>
  <si>
    <t xml:space="preserve">Saldo del contrato: </t>
  </si>
  <si>
    <t xml:space="preserve">VALOR A PAGAR EN ESTE INFORME: </t>
  </si>
  <si>
    <t>Firma:</t>
  </si>
  <si>
    <t>Nombre:</t>
  </si>
  <si>
    <t>Cargo:</t>
  </si>
  <si>
    <t>Indeterminada:</t>
  </si>
  <si>
    <t xml:space="preserve">Fecha: </t>
  </si>
  <si>
    <t>Certificación Unidad de Vinculados:</t>
  </si>
  <si>
    <t>Vigencia Desde:</t>
  </si>
  <si>
    <t>Vigencia Hasta:</t>
  </si>
  <si>
    <t>¿Acta inicio?</t>
  </si>
  <si>
    <t>Número CRP</t>
  </si>
  <si>
    <t>No. Factura</t>
  </si>
  <si>
    <t>Numero CDP</t>
  </si>
  <si>
    <t>Concepto</t>
  </si>
  <si>
    <t xml:space="preserve">Valor total pagos realizados: </t>
  </si>
  <si>
    <r>
      <t xml:space="preserve">PAGO ACTUAL </t>
    </r>
    <r>
      <rPr>
        <sz val="10"/>
        <rFont val="Calibri"/>
        <family val="2"/>
      </rPr>
      <t>(Con el presente informe)</t>
    </r>
  </si>
  <si>
    <r>
      <t xml:space="preserve">PAGOS REALIZADOS </t>
    </r>
    <r>
      <rPr>
        <sz val="10"/>
        <rFont val="Calibri"/>
        <family val="2"/>
      </rPr>
      <t>(Anteriores al presente informe)</t>
    </r>
  </si>
  <si>
    <t>SUPERVISOR DEL CONTRATO</t>
  </si>
  <si>
    <t>INFORME DE SUPERVISIÓN DE CONTRATOS Y ÓRDENES DE EMPRESA</t>
  </si>
  <si>
    <t>Nombre Supervisor:</t>
  </si>
  <si>
    <t>ID VOUCHER</t>
  </si>
  <si>
    <t>Número Pedido</t>
  </si>
  <si>
    <t>Numero Solicitud</t>
  </si>
  <si>
    <t>Ciudad donde se prestó el servicio:</t>
  </si>
  <si>
    <t xml:space="preserve">Cuenta bancaria del proveedor: </t>
  </si>
  <si>
    <t>Método de pago:</t>
  </si>
  <si>
    <t>NO APLICA</t>
  </si>
  <si>
    <t>OBSERVACIONES</t>
  </si>
  <si>
    <t>CONTRATO PRINCIPAL</t>
  </si>
  <si>
    <t>Fecha Perfeccionamiento</t>
  </si>
  <si>
    <t>Valor Adición</t>
  </si>
  <si>
    <t>Duración Prorroga</t>
  </si>
  <si>
    <t>Valor TOTAL del contrato:</t>
  </si>
  <si>
    <t>Amparos</t>
  </si>
  <si>
    <t>Vigencia final</t>
  </si>
  <si>
    <t>Tipo de Contrato:</t>
  </si>
  <si>
    <t>V.- GRADO DE CUMPLIMIENTO DE LAS OBLIGACIONES:</t>
  </si>
  <si>
    <t xml:space="preserve"> </t>
  </si>
  <si>
    <t>Instructivo para diligenciar el formato</t>
  </si>
  <si>
    <r>
      <t xml:space="preserve">VI.- DECLARACIONES Y PLAN DE MEJORAMIENTO DEL SUPERVISOR ANTE  UN EVENTUAL DESEMPEÑO DEFICIENTE O A MEJORAR DE LAS OBLIGACIONES
</t>
    </r>
    <r>
      <rPr>
        <sz val="10"/>
        <rFont val="Calibri"/>
        <family val="2"/>
      </rPr>
      <t>(Diligenciar solo en el caso en el que haya marcado "Deficiente" o "A mejorar" en el numeral V)</t>
    </r>
  </si>
  <si>
    <t xml:space="preserve">SALDO A  LIBERAR A FAVOR DE FIDUPREVISORA: </t>
  </si>
  <si>
    <t>CONCEPTO GENERAL DEL CUMPLIMIENTO DE LAS OBLIGACIONES CONTRACTUALES</t>
  </si>
  <si>
    <t>Recepción sin pedido</t>
  </si>
  <si>
    <t>Recepción con pedido</t>
  </si>
  <si>
    <t>RECEPCIÓN</t>
  </si>
  <si>
    <r>
      <rPr>
        <b/>
        <sz val="9"/>
        <color theme="1"/>
        <rFont val="Calibri"/>
        <family val="2"/>
        <scheme val="minor"/>
      </rPr>
      <t xml:space="preserve">I- GENERALIDADES DEL CONTRATO </t>
    </r>
    <r>
      <rPr>
        <sz val="9"/>
        <color theme="1"/>
        <rFont val="Calibri"/>
        <family val="2"/>
        <scheme val="minor"/>
      </rPr>
      <t xml:space="preserve">
•  Nombre de supervisor: Nombre del supervisor indicado  en la cláusula de supervisión del contrato. 
•  Dependencia: Especificar la dependencia usuaria a la que pertenece el supervisor del contrato.
•  No. de contrato: Número especificado en  el encabezado  del  contrato. 
• Tipo de contrato: Clase indicada en el encabezado del contrato, por ejemplo: Prestación de servicios, compraventa, obra, arrendamiento, entre otros.
•  Objeto: Indicar el  objeto  en la cláusula del contrato en su integridad. 
•  Certificación Unidad de Vinculados: 
    - Vigencia desde: Fecha en que se expide la certificación. 
    - Vigencia hasta: Fecha en que  se termina la vigencia de la certificación la cual se encuentra especificada en la misma. 
</t>
    </r>
    <r>
      <rPr>
        <b/>
        <sz val="9"/>
        <color theme="1"/>
        <rFont val="Calibri"/>
        <family val="2"/>
        <scheme val="minor"/>
      </rPr>
      <t xml:space="preserve">
II- DURACIÓN, ADICIONES PRORROGAS Y MODIFICACIONES EL  CONTRATO</t>
    </r>
    <r>
      <rPr>
        <sz val="9"/>
        <color theme="1"/>
        <rFont val="Calibri"/>
        <family val="2"/>
        <scheme val="minor"/>
      </rPr>
      <t xml:space="preserve">
•  Contrato Principal: 
   - Fecha de perfeccionamiento: Fecha indicada al final del contrato. 
   - Duración: Tiempo determinado en el contrato  principal. 
   - Fecha de inicio: Fecha en la cual se firma el acta de inicio por parte del supervisor y contratista.  
   - Fecha de terminación: Indicar esta fecha calculando lo indicado en el contrato y la fecha de inicio del mismo. 
   - Valor: El  valor especificado en el contrato. 
•  Otrosíes al Contrato: Según el número de otrosíes realizados al contrato, es necesario que se diligencie una casilla por cada otrosí con toda la información solicitada. 
    - Fecha de perfeccionamiento: Fecha indicada al final del otrosí.
    - Tipo de otrosí:  Se debe llenar con una X  si el  otrosí tienen los  siguientes fines: Prórroga (Aumentar tiempo), adición (Aumentar el  valor), modificación ( Modificación de    cláusulas).
    - Duración (Prorroga): En caso de  que el otrosí sea una prórroga se debe indicar el  tiempo el cual se  prolonga el contrato especificando: Fecha de inicio del otrosí, fecha finalización del otrosí.
    - Valor Adición: En caso de que el otrosí sea una adición en dinero se debe indicar el valor de la misma. </t>
    </r>
  </si>
  <si>
    <t>CERTIFICADOS DE REGISTRO PRESUPUESTAL</t>
  </si>
  <si>
    <t>Valor total Certificados de Registro Presupuestal:</t>
  </si>
  <si>
    <t>NO CUMPLE</t>
  </si>
  <si>
    <t>CUMPLE MINIMAMENTE</t>
  </si>
  <si>
    <t>CUMPLE PARCIALMENTE</t>
  </si>
  <si>
    <t>CUMPLE PLENAMENTE</t>
  </si>
  <si>
    <t>OBLIGACIONES Y ESPECIFICACIONES</t>
  </si>
  <si>
    <r>
      <t>VI- DECLARACIONES Y PROPUESTAS DEL SUPERVISOR ANTE UN EVENTUAL DESEMPEÑO DEFICIENTE O MEJORA DE LAS OBLIGACIONES</t>
    </r>
    <r>
      <rPr>
        <sz val="9"/>
        <rFont val="Calibri"/>
        <family val="2"/>
      </rPr>
      <t xml:space="preserve"> (Debe diligenciarse solo en el caso en el que haya marcado "No cumple" o "Cumple minimamente" en el numeral V): De presentarse un incumplimiento respecto a las obligaciones del contrato, en esta casilla el supervisor designado debe proponer e indicar fórmulas para solucionar la situación presentada durante la ejecución del contrato.</t>
    </r>
    <r>
      <rPr>
        <b/>
        <sz val="9"/>
        <rFont val="Calibri"/>
        <family val="2"/>
      </rPr>
      <t xml:space="preserve">
VII- PAGOS: </t>
    </r>
    <r>
      <rPr>
        <sz val="9"/>
        <rFont val="Calibri"/>
        <family val="2"/>
      </rPr>
      <t xml:space="preserve">
• Pagos realizados: Indicar todos los pagos realizados en informes de supervisión anteriores, diligenciando los datos solicitados en  todas las casillas y teniendo en cuenta que todos los valores deben de ser coherentes con el valor total del contrato. 
• Pago actual: Indicar el pago que se realizará con el presente informe de supervisión.
</t>
    </r>
    <r>
      <rPr>
        <b/>
        <sz val="9"/>
        <rFont val="Calibri"/>
        <family val="2"/>
      </rPr>
      <t/>
    </r>
  </si>
  <si>
    <r>
      <t xml:space="preserve">III- VALORES 
</t>
    </r>
    <r>
      <rPr>
        <sz val="9"/>
        <rFont val="Calibri"/>
        <family val="2"/>
      </rPr>
      <t>• Valor total del contrato: Indicar la sumatoria del valor del contrato  y todos sus otrosíes.
• Valor indeterminado: Señalar  con una X  si el valor del contrato es indeterminado. 
• Certificados de Disponibilidad Presupuestal: Indicar todos los certificados de disponibilidad presupuestal que respaldaron el contrato y sus  respectivos otrosíes con los datos solicitados en el formato (Fecha, número, código, rubro y valor) para luego especificar el valor total.</t>
    </r>
    <r>
      <rPr>
        <b/>
        <sz val="9"/>
        <rFont val="Calibri"/>
        <family val="2"/>
      </rPr>
      <t xml:space="preserve">
</t>
    </r>
    <r>
      <rPr>
        <sz val="9"/>
        <rFont val="Calibri"/>
        <family val="2"/>
      </rPr>
      <t>• Certificados de Registro Presupuestal: Indicar todos los certificados de registro presupuestal que respaldaron el contrato y sus  respectivos otrosíes con los datos solicitados en el formato (Fecha, número, código, rubro y valor) para luego especificar el valor total.</t>
    </r>
    <r>
      <rPr>
        <b/>
        <sz val="9"/>
        <rFont val="Calibri"/>
        <family val="2"/>
      </rPr>
      <t xml:space="preserve">
IV- GARANTÍAS DEL CONTRATO: </t>
    </r>
    <r>
      <rPr>
        <sz val="9"/>
        <rFont val="Calibri"/>
        <family val="2"/>
      </rPr>
      <t>La póliza exigida en el contrato tiene diferentes amparos en la misma, por lo tanto el formato se debe diligenciar indicando cada amparo individualmente, con los siguientes datos particulares: 
• Aseguradora
• Número de póliza
• Amparo (Cumplimiento, calidad, pago de salarios, calidad, etc). 
• Vigencia de inicio de cada amparo 
• Fecha final de cada amparo 
• Valor asegurado de cada amparo</t>
    </r>
    <r>
      <rPr>
        <b/>
        <sz val="9"/>
        <rFont val="Calibri"/>
        <family val="2"/>
      </rPr>
      <t xml:space="preserve">
V- GRADO DE CUMPLIMIENTO DE LAS OBLIGACIONES:</t>
    </r>
    <r>
      <rPr>
        <sz val="9"/>
        <rFont val="Calibri"/>
        <family val="2"/>
      </rPr>
      <t xml:space="preserve"> Enumerar todas las obligaciones del contrato e indicar el grado de cumplimiento con sus respectivas observaciones, para finalmente puntualizar un concepto general del cumplimiento de las obligaciones del contrato. (Incluir obligaciones generales y ambientales)</t>
    </r>
  </si>
  <si>
    <t>Dejar las anotaciones frentes a los incumplimientosde las obligaciones (Aplica para las obligaciones que no cumple, cumple minimamente y cumple parcialmente)</t>
  </si>
  <si>
    <t>VIII- OBSERVACIONES</t>
  </si>
  <si>
    <r>
      <t xml:space="preserve">PÓLIZAS </t>
    </r>
    <r>
      <rPr>
        <sz val="10"/>
        <rFont val="Calibri"/>
        <family val="2"/>
      </rPr>
      <t xml:space="preserve">(Diligenciar un registro por cada amparo) </t>
    </r>
  </si>
  <si>
    <t>VIII.- PAGOS</t>
  </si>
  <si>
    <t>(aplica sólo en caso de que se cuente con soportes presupuestales de la vigencia actual)</t>
  </si>
  <si>
    <t>VII.- OBSERVACIONES GENERALES</t>
  </si>
  <si>
    <r>
      <rPr>
        <sz val="9"/>
        <rFont val="Calibri"/>
        <family val="2"/>
      </rPr>
      <t xml:space="preserve">El suscrito Supervisor del contrato de la referencia CERTIFICA que verificó que el contratista se encuentra al día por concepto de pagos y aportes a Seguridad Social y Parafiscales a través de la revisión de las constancias de pago o certificación de Revisor Fiscal; que a su vez ha verificado que la Certificación de la Unidad de Vinculados del contratista se encuentra vigente y que los datos aquí consignados son veraces y en consecuencia autoriza la realización del pago solicitado a través de la factura o cuenta de cobro entregada por el contratista. </t>
    </r>
    <r>
      <rPr>
        <b/>
        <sz val="9"/>
        <rFont val="Calibri"/>
        <family val="2"/>
      </rPr>
      <t xml:space="preserve">
Nota: solo aplica pra los casos que requiere pago</t>
    </r>
  </si>
  <si>
    <t>x</t>
  </si>
  <si>
    <t>Fecha:</t>
  </si>
  <si>
    <t>El CONTRATISTA con autonomía técnica y administrativa, se obliga con el CONTRATANTE a prestar los servicios de soporte, actualización y mantenimiento del aplicativo MITRA y la plataforma JAC versión ONPREMISE ESTANDAR, como también migración, implementación, soporte, actualización y mantenimiento del aplicativo MITRA Clúster SaaS, los cuales permiten realizar la integración entre el aplicativo MITRA y la Bolsa de Valores de Colombia. Lo anterior, de conformidad con la propuesta presentada por el CONTRATISTA, la cual hace parte integral del presente CONTRATO, en lo que no contravenga las disposiciones pactadas en el mismo.</t>
  </si>
  <si>
    <t>CUMPLIMIENTO</t>
  </si>
  <si>
    <t>13 meses</t>
  </si>
  <si>
    <t>0211310107_0001</t>
  </si>
  <si>
    <t>MANTENIMIENTO DE SOFTWARE</t>
  </si>
  <si>
    <t>0311110201_0004</t>
  </si>
  <si>
    <t>NUEVA FUNCIONAL-GAPS IDENT</t>
  </si>
  <si>
    <t>CALIDAD DEL SERVICIO</t>
  </si>
  <si>
    <t>SALARIOS Y PRESTACIONES SOCIALES</t>
  </si>
  <si>
    <t>SEGUROS DEL ESTADO S.A.</t>
  </si>
  <si>
    <t>21-45-101498488</t>
  </si>
  <si>
    <t>Los servicios de soporte (permanente) y mantenimiento y actualización (si hay lugar a ello) deberán ser prestados sobre el aplicativo MITRA ONPREMISE y la plataforma JAC de acuerdo con las siguientes condiciones y durante Cuatro meses: Atención telefónica de acuerdo con lo ofrecido en la oferta comercial.Atención de soporte para la aplicación, de acuerdo con la oferta comercial. Seguimiento y retroalimentación, de acuerdo con la oferta comercial y la cláusula decima de las obligaciones específicas. Cobertura, de acuerdo con lo ofrecido en la oferta comercial</t>
  </si>
  <si>
    <t>En cuanto al Acondicionamiento:
El servicio contempla las actividades técnicas necesarias para realizar la preparación y configuración de los componentes de acuerdo con lo contratado, que actualmente se encuentra en la versión MITRA estándar en su instalación On Premise, para dejarlos operativos en la nueva versión MITRA SaaS, es importante precisar que en esta nueva versión se mantiene la integración que actualmente se cuenta la Fiduciaria con el sistema BackOffice (PORFIN). Para la implantación de MITRA SaaS, se contempla la realización de: Análisis de Componentes, Migración de Datos, Integración de MITRA con la Infraestructura de Fiduciaria la Previsora S.A, Configuración Técnica, Orientación Técnica y Funcional para Implantación en Producción de MITRA
SaaS.</t>
  </si>
  <si>
    <t>En cuanto a la Integración:
El sistema MITRA SaaS dispondrá de un API construido para que los sistemas BackOffice de las entidades puedan conectarse e integrarse.
Para MITRA módulo de negociación, el API dispondrá de un Servicio Web REST que es expuesto por MITRA para que el sistema BackOffice de la entidad, al consumirlo con un par de parámetros, le retorne el listado de las operaciones que cumplen la condición de los parámetros.
El sistema BackOffice debe garantizar la correcta integración a partir de los datos que son entregados por el servicio web de MITRA.</t>
  </si>
  <si>
    <t>Los servicios de soporte, mantenimiento y actualización deberán ser prestados sobre el aplicativo MITRA Clúster SaaS de acuerdo con las siguientes condiciones y durante diez meses:
Atención telefónica de acuerdo con lo ofrecido en la oferta comercial.
Atención de soporte para la aplicación, de acuerdo con la oferta comercial.
Seguimiento y retroalimentación, de acuerdo con la oferta comercial y la cláusula decima de las obligaciones específicas.
Disponibilidad del software y la infraestructura técnica de MITRA Clúster ambiente de producción
Actualización de la versión MITRA Clúster SaaS.
Cobertura, de acuerdo con lo ofrecido en la oferta comercial.
Las demás condiciones de excepción señaladas en la oferta de servicios.</t>
  </si>
  <si>
    <t xml:space="preserve">Realizar el soporte de la aplicación, garantizando la operación del sistema de información, según las condiciones presentada en la propuesta comercial, en la versión ONPREMISE.
</t>
  </si>
  <si>
    <t xml:space="preserve">Migración, acondicionamiento, integración e implementación MITRA de versión Estándar a Versión Clúster SaaS, de acuerdo con lo establecido en la oferta.
</t>
  </si>
  <si>
    <t xml:space="preserve">Realizar soporte, mantenimiento y actualizaciones del producto para la versión CLÚSTER SaaS.
</t>
  </si>
  <si>
    <t xml:space="preserve">Brindar atención telefónica o vía email.
</t>
  </si>
  <si>
    <t xml:space="preserve">Realizar el soporte de acuerdo con lo establecido en la oferta comercial, para la en la versión ONPREMISE y la versión CLÚSTER SaaS.
</t>
  </si>
  <si>
    <t xml:space="preserve">Realizar seguimiento y retroalimentación correspondiente a uso del sistema para la versión ONPREMISE y la versión CLÚSTER SaaS.
</t>
  </si>
  <si>
    <t xml:space="preserve">Atender los incidentes y requerimientos en el horario de acuerdo con la oferta comercial para la en la versión ONPREMISE y la versión CLÚSTER SaaS.
</t>
  </si>
  <si>
    <t xml:space="preserve">Cumplir con los niveles de servicio y los requisitos establecidos en la propuesta comercial para atención de novedades.
</t>
  </si>
  <si>
    <t xml:space="preserve">Cumplir con todas y cada una de las especificaciones establecidas en la oferta comercial.
</t>
  </si>
  <si>
    <t xml:space="preserve">Ejecutar durante el plazo estipulado todas las actividades tendientes al logro de las obligaciones stablecidas en la propuesta.
</t>
  </si>
  <si>
    <t xml:space="preserve">Realizar la entrega de evidencias técnicas que den cuenta del cumplimiento del objeto y las obligaciones del contrato.
</t>
  </si>
  <si>
    <t xml:space="preserve">Realizar previa acuerdo junto con el supervisor del contrato y el líder técnico asignado, una reunión de seguimiento mensual con el fin de verificar el cumplimiento y la calidad en la prestación de los servicios.
</t>
  </si>
  <si>
    <t xml:space="preserve">Ejecutar los nuevos desarrollos y mantenimientos de software bajo el MODELO OPERATIVO DE MANTENIMIENTO Y DESARROLLO DE SOFTWARE implementado por el CONTRATANTE y adoptar las metodologías de desarrollo o marcos de trabajo apropiados y agiles.
</t>
  </si>
  <si>
    <t>Realizar el soporte de las aplicaciones bajo los lineamientos y procedimientos establecidos</t>
  </si>
  <si>
    <t>FV 3001</t>
  </si>
  <si>
    <t>Contrato de Soporte On Premise por 4 meses y Acondicionamiento de MITRA SaaS, se factura el primer 20% según contrato No.19000-145-2025</t>
  </si>
  <si>
    <t>X</t>
  </si>
  <si>
    <t>No aplica para la Version On-Premise, las SaaS se encuentra en proceso de implatación</t>
  </si>
  <si>
    <t>La version SaaS se encuentra en implantación</t>
  </si>
  <si>
    <t>BOGOTA</t>
  </si>
  <si>
    <t xml:space="preserve">TRANSFERNCIA </t>
  </si>
  <si>
    <t>HOLLMAN ANDRES SUESCUN MENDEZ</t>
  </si>
  <si>
    <t>FV 3030</t>
  </si>
  <si>
    <t>Consultoría Técnica Acondicionamiento de MITRA SaaS, se factura el segundo pago correspondiente al 30% según Contrato No.19000-145-202</t>
  </si>
  <si>
    <t>DIRECTOR DE SOFTWARE ( E)</t>
  </si>
  <si>
    <t>RECURSOS HUMANOS</t>
  </si>
  <si>
    <t>101.243.917-6</t>
  </si>
  <si>
    <t>JUAN ANTONIO URIBE URIBE</t>
  </si>
  <si>
    <t>0211320108_0005</t>
  </si>
  <si>
    <t>MANTENIMIENTO DEL SOFTWARE</t>
  </si>
  <si>
    <t>SOFT SAS</t>
  </si>
  <si>
    <t>SEBAS</t>
  </si>
  <si>
    <t>CONTRATO TEMPORAL</t>
  </si>
  <si>
    <t>1-9000-160-2025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</si>
</sst>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 #,##0.00_);_(&quot;$&quot;\ * \(#,##0.00\);_(&quot;$&quot;\ * &quot;-&quot;??_);_(@_)"/>
    <numFmt numFmtId="165" formatCode="_-[$$-240A]\ * #,##0.00_ ;_-[$$-240A]\ * \-#,##0.00\ ;_-[$$-240A]\ * &quot;-&quot;??_ ;_-@_ "/>
    <numFmt numFmtId="166" formatCode="_([$$-240A]\ * #,##0.00_);_([$$-240A]\ * \(#,##0.00\);_([$$-240A]\ * &quot;-&quot;??_);_(@_)"/>
  </numFmts>
  <fonts count="33" x14ac:knownFonts="1">
    <font>
      <sz val="11"/>
      <color theme="1"/>
      <name val="Calibri"/>
      <family val="2"/>
      <scheme val="minor"/>
    </font>
    <font>
      <sz val="11"/>
      <color indexed="8"/>
      <name val="Calibri"/>
      <family val="2"/>
    </font>
    <font>
      <sz val="8"/>
      <name val="Calibri"/>
      <family val="2"/>
    </font>
    <font>
      <b/>
      <sz val="10"/>
      <name val="Calibri"/>
      <family val="2"/>
    </font>
    <font>
      <sz val="10"/>
      <name val="Calibri"/>
      <family val="2"/>
    </font>
    <font>
      <sz val="10"/>
      <color indexed="8"/>
      <name val="Calibri"/>
      <family val="2"/>
    </font>
    <font>
      <b/>
      <sz val="9"/>
      <name val="Calibri"/>
      <family val="2"/>
    </font>
    <font>
      <b/>
      <sz val="10.5"/>
      <name val="Calibri"/>
      <family val="2"/>
    </font>
    <font>
      <b/>
      <sz val="10"/>
      <color indexed="8"/>
      <name val="Calibri"/>
      <family val="2"/>
    </font>
    <font>
      <b/>
      <sz val="9"/>
      <color indexed="8"/>
      <name val="Calibri"/>
      <family val="2"/>
    </font>
    <font>
      <b/>
      <sz val="8"/>
      <color indexed="8"/>
      <name val="Calibri"/>
      <family val="2"/>
    </font>
    <font>
      <b/>
      <sz val="11"/>
      <name val="Calibri"/>
      <family val="2"/>
    </font>
    <font>
      <b/>
      <sz val="8"/>
      <name val="Calibri"/>
      <family val="2"/>
      <scheme val="minor"/>
    </font>
    <font>
      <sz val="9"/>
      <color theme="0" tint="-0.14999847407452621"/>
      <name val="Calibri"/>
      <family val="2"/>
    </font>
    <font>
      <sz val="11"/>
      <color theme="0" tint="-0.14999847407452621"/>
      <name val="Calibri"/>
      <family val="2"/>
      <scheme val="minor"/>
    </font>
    <font>
      <b/>
      <sz val="10"/>
      <name val="Calibri"/>
      <family val="2"/>
      <scheme val="minor"/>
    </font>
    <font>
      <b/>
      <sz val="10"/>
      <color theme="1"/>
      <name val="Calibri"/>
      <family val="2"/>
    </font>
    <font>
      <sz val="10"/>
      <color theme="1"/>
      <name val="Calibri"/>
      <family val="2"/>
    </font>
    <font>
      <sz val="9"/>
      <color theme="1"/>
      <name val="Calibri"/>
      <family val="2"/>
      <scheme val="minor"/>
    </font>
    <font>
      <b/>
      <sz val="9"/>
      <color theme="1"/>
      <name val="Calibri"/>
      <family val="2"/>
      <scheme val="minor"/>
    </font>
    <font>
      <sz val="9"/>
      <name val="Calibri"/>
      <family val="2"/>
    </font>
    <font>
      <sz val="9"/>
      <color indexed="8"/>
      <name val="Calibri"/>
      <family val="2"/>
    </font>
    <font>
      <b/>
      <i/>
      <sz val="11"/>
      <color theme="1"/>
      <name val="Calibri"/>
      <family val="2"/>
      <scheme val="minor"/>
    </font>
    <font>
      <b/>
      <sz val="10"/>
      <color rgb="FFFF0000"/>
      <name val="Calibri"/>
      <family val="2"/>
    </font>
    <font>
      <sz val="9"/>
      <color indexed="81"/>
      <name val="Tahoma"/>
      <family val="2"/>
    </font>
    <font>
      <b/>
      <sz val="9"/>
      <color indexed="81"/>
      <name val="Tahoma"/>
      <family val="2"/>
    </font>
    <font>
      <b/>
      <sz val="7"/>
      <color indexed="8"/>
      <name val="Calibri"/>
      <family val="2"/>
    </font>
    <font>
      <sz val="10"/>
      <name val="Calibri"/>
      <family val="2"/>
      <scheme val="minor"/>
    </font>
    <font>
      <sz val="10"/>
      <color theme="1"/>
      <name val="Calibri"/>
      <family val="2"/>
      <scheme val="minor"/>
    </font>
    <font>
      <sz val="11"/>
      <color theme="1"/>
      <name val="Calibri"/>
      <family val="2"/>
      <scheme val="minor"/>
    </font>
    <font>
      <u/>
      <sz val="10"/>
      <name val="Calibri"/>
      <family val="2"/>
    </font>
    <font>
      <b/>
      <u/>
      <sz val="10"/>
      <name val="Calibri"/>
      <family val="2"/>
    </font>
    <font>
      <u/>
      <sz val="8"/>
      <name val="Calibri"/>
      <family val="2"/>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6" tint="0.79998168889431442"/>
        <bgColor indexed="64"/>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theme="0" tint="-0.24994659260841701"/>
      </left>
      <right style="thin">
        <color indexed="64"/>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thin">
        <color indexed="64"/>
      </right>
      <top style="medium">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theme="0" tint="-0.24994659260841701"/>
      </left>
      <right style="thin">
        <color indexed="64"/>
      </right>
      <top style="thin">
        <color indexed="64"/>
      </top>
      <bottom style="medium">
        <color indexed="64"/>
      </bottom>
      <diagonal/>
    </border>
    <border>
      <left/>
      <right style="thin">
        <color theme="0" tint="-0.24994659260841701"/>
      </right>
      <top style="thin">
        <color indexed="64"/>
      </top>
      <bottom style="medium">
        <color indexed="64"/>
      </bottom>
      <diagonal/>
    </border>
    <border>
      <left/>
      <right style="thin">
        <color theme="0" tint="-0.24994659260841701"/>
      </right>
      <top style="thin">
        <color indexed="64"/>
      </top>
      <bottom style="thin">
        <color indexed="64"/>
      </bottom>
      <diagonal/>
    </border>
    <border>
      <left/>
      <right style="thin">
        <color theme="0" tint="-0.24994659260841701"/>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24994659260841701"/>
      </left>
      <right/>
      <top style="thin">
        <color indexed="64"/>
      </top>
      <bottom style="medium">
        <color indexed="64"/>
      </bottom>
      <diagonal/>
    </border>
    <border>
      <left style="thin">
        <color theme="0" tint="-0.24994659260841701"/>
      </left>
      <right/>
      <top style="thin">
        <color indexed="64"/>
      </top>
      <bottom style="thin">
        <color indexed="64"/>
      </bottom>
      <diagonal/>
    </border>
    <border>
      <left style="thin">
        <color theme="0" tint="-0.24994659260841701"/>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3" fontId="29" fillId="0" borderId="0" applyFont="0" applyFill="0" applyBorder="0" applyAlignment="0" applyProtection="0"/>
  </cellStyleXfs>
  <cellXfs count="40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center"/>
    </xf>
    <xf numFmtId="0" fontId="3" fillId="0" borderId="0" xfId="0" applyFont="1" applyAlignment="1">
      <alignment horizontal="right" vertical="center"/>
    </xf>
    <xf numFmtId="0" fontId="7" fillId="0" borderId="0" xfId="0" applyFont="1" applyAlignment="1">
      <alignment horizontal="center" vertical="center"/>
    </xf>
    <xf numFmtId="0" fontId="3" fillId="0" borderId="1" xfId="0" applyFont="1" applyBorder="1" applyAlignment="1">
      <alignment vertical="center"/>
    </xf>
    <xf numFmtId="0" fontId="3" fillId="0" borderId="2" xfId="0" applyFont="1" applyBorder="1" applyAlignment="1">
      <alignment vertical="center"/>
    </xf>
    <xf numFmtId="0" fontId="4" fillId="0" borderId="2" xfId="0" applyFont="1" applyBorder="1" applyAlignment="1">
      <alignment horizontal="center" vertical="center"/>
    </xf>
    <xf numFmtId="9" fontId="4" fillId="0" borderId="2" xfId="2" applyFont="1" applyFill="1" applyBorder="1" applyAlignment="1">
      <alignment horizontal="justify" vertical="center"/>
    </xf>
    <xf numFmtId="0" fontId="4" fillId="0" borderId="2" xfId="0" applyFont="1" applyBorder="1" applyAlignment="1">
      <alignment horizontal="justify" vertical="center"/>
    </xf>
    <xf numFmtId="0" fontId="5" fillId="0" borderId="2" xfId="0" applyFont="1" applyBorder="1" applyAlignment="1">
      <alignment vertical="center"/>
    </xf>
    <xf numFmtId="0" fontId="5" fillId="0" borderId="3" xfId="0" applyFont="1" applyBorder="1" applyAlignment="1">
      <alignment vertical="center"/>
    </xf>
    <xf numFmtId="0" fontId="3" fillId="0" borderId="4" xfId="0" applyFont="1" applyBorder="1" applyAlignment="1">
      <alignment vertical="center"/>
    </xf>
    <xf numFmtId="0" fontId="5" fillId="0" borderId="5" xfId="0" applyFont="1" applyBorder="1" applyAlignment="1">
      <alignment vertical="center"/>
    </xf>
    <xf numFmtId="0" fontId="3" fillId="0" borderId="6" xfId="0" applyFont="1" applyBorder="1" applyAlignment="1">
      <alignment vertical="center"/>
    </xf>
    <xf numFmtId="0" fontId="5" fillId="0" borderId="7" xfId="0" applyFont="1" applyBorder="1" applyAlignment="1">
      <alignment vertical="center"/>
    </xf>
    <xf numFmtId="0" fontId="7" fillId="0" borderId="0" xfId="0" applyFont="1" applyAlignment="1">
      <alignment vertical="center"/>
    </xf>
    <xf numFmtId="0" fontId="5"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right" vertical="center"/>
    </xf>
    <xf numFmtId="0" fontId="5" fillId="0" borderId="8" xfId="0" applyFont="1" applyBorder="1" applyAlignment="1">
      <alignment horizontal="center" vertical="center"/>
    </xf>
    <xf numFmtId="0" fontId="6" fillId="0" borderId="0" xfId="0" applyFont="1" applyAlignment="1">
      <alignment horizontal="center" vertical="center"/>
    </xf>
    <xf numFmtId="0" fontId="3" fillId="3" borderId="0" xfId="0" applyFont="1" applyFill="1" applyAlignment="1">
      <alignment horizontal="center" vertical="center"/>
    </xf>
    <xf numFmtId="0" fontId="6" fillId="3" borderId="0" xfId="0" applyFont="1" applyFill="1" applyAlignment="1">
      <alignment horizontal="right" vertical="center"/>
    </xf>
    <xf numFmtId="0" fontId="6" fillId="0" borderId="0" xfId="0" applyFont="1" applyAlignment="1">
      <alignment horizontal="center" vertical="center" wrapText="1"/>
    </xf>
    <xf numFmtId="0" fontId="7" fillId="0" borderId="0" xfId="0" applyFont="1" applyAlignment="1">
      <alignment horizontal="righ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4" borderId="4" xfId="0" applyFont="1" applyFill="1" applyBorder="1" applyAlignment="1">
      <alignment vertical="center"/>
    </xf>
    <xf numFmtId="0" fontId="5" fillId="4" borderId="5" xfId="0" applyFont="1" applyFill="1" applyBorder="1" applyAlignment="1">
      <alignment vertical="center"/>
    </xf>
    <xf numFmtId="0" fontId="5" fillId="4" borderId="0" xfId="0" applyFont="1" applyFill="1" applyAlignment="1">
      <alignment vertical="center"/>
    </xf>
    <xf numFmtId="0" fontId="8" fillId="4" borderId="0" xfId="0" applyFont="1" applyFill="1" applyAlignment="1">
      <alignment vertical="center"/>
    </xf>
    <xf numFmtId="0" fontId="3" fillId="4" borderId="0" xfId="0" applyFont="1" applyFill="1" applyAlignment="1">
      <alignment horizontal="left" vertical="center"/>
    </xf>
    <xf numFmtId="0" fontId="13" fillId="0" borderId="0" xfId="0" applyFont="1" applyAlignment="1">
      <alignment horizontal="center" vertical="center"/>
    </xf>
    <xf numFmtId="0" fontId="14" fillId="0" borderId="0" xfId="0" applyFont="1"/>
    <xf numFmtId="0" fontId="11" fillId="0" borderId="0" xfId="0" applyFont="1" applyAlignment="1">
      <alignment vertical="center"/>
    </xf>
    <xf numFmtId="0" fontId="5" fillId="0" borderId="13" xfId="0" applyFont="1" applyBorder="1" applyAlignment="1">
      <alignment vertical="center"/>
    </xf>
    <xf numFmtId="0" fontId="3" fillId="0" borderId="2" xfId="0" applyFont="1" applyBorder="1" applyAlignment="1">
      <alignment horizontal="left" vertical="center"/>
    </xf>
    <xf numFmtId="0" fontId="3" fillId="0" borderId="64" xfId="0" applyFont="1" applyBorder="1" applyAlignment="1">
      <alignment horizontal="center" vertical="center"/>
    </xf>
    <xf numFmtId="0" fontId="3" fillId="0" borderId="66" xfId="0" applyFont="1" applyBorder="1" applyAlignment="1">
      <alignment horizontal="center" vertical="center"/>
    </xf>
    <xf numFmtId="0" fontId="6" fillId="0" borderId="50" xfId="0" applyFont="1" applyBorder="1" applyAlignment="1">
      <alignment vertical="center"/>
    </xf>
    <xf numFmtId="0" fontId="6" fillId="0" borderId="1"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3" fillId="0" borderId="13" xfId="0" applyFont="1" applyBorder="1" applyAlignment="1">
      <alignment horizontal="left" vertical="center"/>
    </xf>
    <xf numFmtId="0" fontId="3" fillId="0" borderId="13"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left" vertical="center"/>
    </xf>
    <xf numFmtId="0" fontId="8" fillId="0" borderId="0" xfId="0" applyFont="1" applyAlignment="1">
      <alignment horizontal="center" vertical="center"/>
    </xf>
    <xf numFmtId="0" fontId="3" fillId="4" borderId="0" xfId="0" applyFont="1" applyFill="1" applyAlignment="1">
      <alignment horizontal="center" vertical="center"/>
    </xf>
    <xf numFmtId="0" fontId="8" fillId="3" borderId="0" xfId="0" applyFont="1" applyFill="1" applyAlignment="1">
      <alignment vertical="center"/>
    </xf>
    <xf numFmtId="0" fontId="3" fillId="4" borderId="0" xfId="0" applyFont="1" applyFill="1" applyAlignment="1">
      <alignment vertical="center"/>
    </xf>
    <xf numFmtId="0" fontId="6" fillId="0" borderId="74" xfId="0" applyFont="1" applyBorder="1" applyAlignment="1">
      <alignment vertical="center"/>
    </xf>
    <xf numFmtId="0" fontId="3" fillId="0" borderId="76" xfId="0" applyFont="1" applyBorder="1" applyAlignment="1">
      <alignment horizontal="center" vertical="center"/>
    </xf>
    <xf numFmtId="0" fontId="12" fillId="4" borderId="0" xfId="0" applyFont="1" applyFill="1" applyAlignment="1">
      <alignment vertical="center"/>
    </xf>
    <xf numFmtId="43" fontId="5" fillId="0" borderId="0" xfId="3" applyFont="1" applyAlignment="1">
      <alignment vertical="center"/>
    </xf>
    <xf numFmtId="43" fontId="5" fillId="0" borderId="0" xfId="0" applyNumberFormat="1" applyFont="1" applyAlignment="1">
      <alignment vertical="center"/>
    </xf>
    <xf numFmtId="0" fontId="3" fillId="0" borderId="81" xfId="0" applyFont="1" applyBorder="1" applyAlignment="1">
      <alignment horizontal="center" vertical="center"/>
    </xf>
    <xf numFmtId="0" fontId="3" fillId="5" borderId="4" xfId="0" applyFont="1" applyFill="1" applyBorder="1" applyAlignment="1">
      <alignment vertical="center"/>
    </xf>
    <xf numFmtId="0" fontId="3" fillId="5" borderId="0" xfId="0" applyFont="1" applyFill="1" applyAlignment="1">
      <alignment horizontal="left" vertical="center"/>
    </xf>
    <xf numFmtId="0" fontId="3" fillId="5" borderId="0" xfId="0" applyFont="1" applyFill="1" applyAlignment="1">
      <alignment horizontal="center" vertical="center"/>
    </xf>
    <xf numFmtId="0" fontId="5" fillId="5" borderId="5" xfId="0" applyFont="1" applyFill="1" applyBorder="1" applyAlignment="1">
      <alignment vertical="center"/>
    </xf>
    <xf numFmtId="0" fontId="5" fillId="5" borderId="0" xfId="0" applyFont="1" applyFill="1" applyAlignment="1">
      <alignment vertical="center"/>
    </xf>
    <xf numFmtId="0" fontId="3" fillId="5" borderId="0" xfId="0" applyFont="1" applyFill="1" applyAlignment="1">
      <alignment vertical="center"/>
    </xf>
    <xf numFmtId="0" fontId="10" fillId="5" borderId="0" xfId="0" applyFont="1" applyFill="1" applyAlignment="1">
      <alignment horizontal="center" vertical="center"/>
    </xf>
    <xf numFmtId="0" fontId="8" fillId="5" borderId="8" xfId="0" applyFont="1" applyFill="1" applyBorder="1" applyAlignment="1">
      <alignment vertical="center"/>
    </xf>
    <xf numFmtId="0" fontId="8" fillId="5" borderId="0" xfId="0" applyFont="1" applyFill="1" applyAlignment="1">
      <alignment vertical="center"/>
    </xf>
    <xf numFmtId="0" fontId="9" fillId="5" borderId="0" xfId="0" applyFont="1" applyFill="1" applyAlignment="1">
      <alignment horizontal="right" vertical="center"/>
    </xf>
    <xf numFmtId="0" fontId="8" fillId="5" borderId="0" xfId="0" applyFont="1" applyFill="1" applyAlignment="1">
      <alignment horizontal="center" vertical="center"/>
    </xf>
    <xf numFmtId="0" fontId="8" fillId="5" borderId="8" xfId="0" applyFont="1" applyFill="1" applyBorder="1" applyAlignment="1">
      <alignment horizontal="center"/>
    </xf>
    <xf numFmtId="0" fontId="4" fillId="5" borderId="0" xfId="0" applyFont="1" applyFill="1" applyAlignment="1">
      <alignment horizontal="center" vertical="center"/>
    </xf>
    <xf numFmtId="0" fontId="8" fillId="5" borderId="0" xfId="0" applyFont="1" applyFill="1" applyAlignment="1">
      <alignment horizontal="center"/>
    </xf>
    <xf numFmtId="0" fontId="5" fillId="5" borderId="0" xfId="0" applyFont="1" applyFill="1" applyAlignment="1">
      <alignment horizontal="center" vertical="center"/>
    </xf>
    <xf numFmtId="0" fontId="6" fillId="5" borderId="12" xfId="0" applyFont="1" applyFill="1" applyBorder="1" applyAlignment="1">
      <alignment horizontal="right" vertical="center"/>
    </xf>
    <xf numFmtId="0" fontId="6" fillId="5" borderId="53" xfId="0" applyFont="1" applyFill="1" applyBorder="1" applyAlignment="1">
      <alignment horizontal="right" vertical="center"/>
    </xf>
    <xf numFmtId="0" fontId="3" fillId="5" borderId="52" xfId="0" applyFont="1" applyFill="1" applyBorder="1" applyAlignment="1">
      <alignment horizontal="right" vertical="center"/>
    </xf>
    <xf numFmtId="0" fontId="3" fillId="5" borderId="12" xfId="0" applyFont="1" applyFill="1" applyBorder="1" applyAlignment="1">
      <alignment horizontal="right" vertical="center"/>
    </xf>
    <xf numFmtId="0" fontId="4" fillId="5" borderId="57" xfId="0" applyFont="1" applyFill="1" applyBorder="1" applyAlignment="1">
      <alignment horizontal="right" vertical="center"/>
    </xf>
    <xf numFmtId="0" fontId="6" fillId="5" borderId="74" xfId="0" applyFont="1" applyFill="1" applyBorder="1" applyAlignment="1">
      <alignment vertical="center"/>
    </xf>
    <xf numFmtId="0" fontId="3" fillId="5" borderId="9" xfId="0" applyFont="1" applyFill="1" applyBorder="1" applyAlignment="1">
      <alignment horizontal="center" vertical="center"/>
    </xf>
    <xf numFmtId="0" fontId="2" fillId="5" borderId="54" xfId="0" applyFont="1" applyFill="1" applyBorder="1" applyAlignment="1">
      <alignment vertical="center"/>
    </xf>
    <xf numFmtId="0" fontId="4" fillId="5" borderId="58" xfId="0" applyFont="1" applyFill="1" applyBorder="1" applyAlignment="1">
      <alignment vertical="center"/>
    </xf>
    <xf numFmtId="0" fontId="3" fillId="5" borderId="10" xfId="0" applyFont="1" applyFill="1" applyBorder="1" applyAlignment="1">
      <alignment horizontal="center" vertical="center"/>
    </xf>
    <xf numFmtId="0" fontId="2" fillId="5" borderId="55" xfId="0" applyFont="1" applyFill="1" applyBorder="1" applyAlignment="1">
      <alignment vertical="center"/>
    </xf>
    <xf numFmtId="0" fontId="4" fillId="5" borderId="59" xfId="0" applyFont="1" applyFill="1" applyBorder="1" applyAlignment="1">
      <alignment vertical="center"/>
    </xf>
    <xf numFmtId="0" fontId="3" fillId="5" borderId="11" xfId="0" applyFont="1" applyFill="1" applyBorder="1" applyAlignment="1">
      <alignment horizontal="center" vertical="center"/>
    </xf>
    <xf numFmtId="0" fontId="2" fillId="5" borderId="56" xfId="0" applyFont="1" applyFill="1" applyBorder="1" applyAlignment="1">
      <alignment vertical="center"/>
    </xf>
    <xf numFmtId="0" fontId="4" fillId="5" borderId="60" xfId="0" applyFont="1" applyFill="1" applyBorder="1" applyAlignment="1">
      <alignment vertical="center"/>
    </xf>
    <xf numFmtId="0" fontId="6" fillId="5" borderId="14" xfId="0" applyFont="1" applyFill="1" applyBorder="1" applyAlignment="1">
      <alignment vertical="center"/>
    </xf>
    <xf numFmtId="0" fontId="3" fillId="5" borderId="17" xfId="0" applyFont="1" applyFill="1" applyBorder="1" applyAlignment="1">
      <alignment horizontal="center" vertical="center"/>
    </xf>
    <xf numFmtId="0" fontId="3" fillId="5" borderId="15" xfId="0" applyFont="1" applyFill="1" applyBorder="1" applyAlignment="1">
      <alignment horizontal="center" vertical="center"/>
    </xf>
    <xf numFmtId="0" fontId="3" fillId="5" borderId="16" xfId="0" applyFont="1" applyFill="1" applyBorder="1" applyAlignment="1">
      <alignment horizontal="center" vertical="center"/>
    </xf>
    <xf numFmtId="0" fontId="6" fillId="5" borderId="50" xfId="0" applyFont="1" applyFill="1" applyBorder="1" applyAlignment="1">
      <alignment vertical="center"/>
    </xf>
    <xf numFmtId="43" fontId="5" fillId="5" borderId="0" xfId="3" applyFont="1" applyFill="1" applyAlignment="1">
      <alignment vertical="center"/>
    </xf>
    <xf numFmtId="0" fontId="3" fillId="5" borderId="68" xfId="0" applyFont="1" applyFill="1" applyBorder="1" applyAlignment="1">
      <alignment horizontal="center" vertical="center"/>
    </xf>
    <xf numFmtId="15" fontId="4" fillId="5" borderId="0" xfId="0" applyNumberFormat="1" applyFont="1" applyFill="1" applyAlignment="1">
      <alignment horizontal="center" vertical="center"/>
    </xf>
    <xf numFmtId="165" fontId="4" fillId="5" borderId="0" xfId="1" applyNumberFormat="1" applyFont="1" applyFill="1" applyBorder="1" applyAlignment="1">
      <alignment horizontal="center" vertical="center"/>
    </xf>
    <xf numFmtId="0" fontId="3" fillId="5" borderId="0" xfId="0" applyFont="1" applyFill="1" applyAlignment="1">
      <alignment horizontal="right" vertical="center"/>
    </xf>
    <xf numFmtId="164" fontId="3" fillId="5" borderId="0" xfId="1" applyFont="1" applyFill="1" applyBorder="1" applyAlignment="1">
      <alignment horizontal="center" vertical="center"/>
    </xf>
    <xf numFmtId="0" fontId="6" fillId="5" borderId="0" xfId="0" applyFont="1" applyFill="1" applyAlignment="1">
      <alignment horizontal="left" vertical="center"/>
    </xf>
    <xf numFmtId="0" fontId="6" fillId="5" borderId="0" xfId="0" applyFont="1" applyFill="1" applyAlignment="1">
      <alignment horizontal="right" vertical="center"/>
    </xf>
    <xf numFmtId="43" fontId="5" fillId="5" borderId="0" xfId="0" applyNumberFormat="1" applyFont="1" applyFill="1" applyAlignment="1">
      <alignment vertical="center"/>
    </xf>
    <xf numFmtId="165" fontId="5" fillId="5" borderId="0" xfId="0" applyNumberFormat="1" applyFont="1" applyFill="1" applyAlignment="1">
      <alignment vertical="center"/>
    </xf>
    <xf numFmtId="0" fontId="3" fillId="0" borderId="27" xfId="0" applyFont="1" applyBorder="1" applyAlignment="1">
      <alignment horizontal="center" vertical="center"/>
    </xf>
    <xf numFmtId="0" fontId="3" fillId="0" borderId="27" xfId="0" applyFont="1" applyBorder="1" applyAlignment="1">
      <alignment horizontal="center" vertical="center" wrapText="1"/>
    </xf>
    <xf numFmtId="0" fontId="3" fillId="0" borderId="13" xfId="0" applyFont="1" applyBorder="1" applyAlignment="1">
      <alignment horizontal="center" vertical="center"/>
    </xf>
    <xf numFmtId="0" fontId="4" fillId="4" borderId="28" xfId="0" applyFont="1" applyFill="1" applyBorder="1" applyAlignment="1">
      <alignment horizontal="center" vertical="center"/>
    </xf>
    <xf numFmtId="0" fontId="4" fillId="0" borderId="8" xfId="0" applyFont="1" applyBorder="1" applyAlignment="1">
      <alignment horizontal="center" vertical="center"/>
    </xf>
    <xf numFmtId="0" fontId="6" fillId="0" borderId="6" xfId="0" applyFont="1" applyBorder="1" applyAlignment="1">
      <alignment horizontal="justify" vertical="center" wrapText="1"/>
    </xf>
    <xf numFmtId="0" fontId="6" fillId="0" borderId="13" xfId="0" applyFont="1" applyBorder="1" applyAlignment="1">
      <alignment horizontal="justify" vertical="center" wrapText="1"/>
    </xf>
    <xf numFmtId="0" fontId="6" fillId="0" borderId="7" xfId="0" applyFont="1" applyBorder="1" applyAlignment="1">
      <alignment horizontal="justify" vertical="center" wrapText="1"/>
    </xf>
    <xf numFmtId="0" fontId="4" fillId="0" borderId="18" xfId="0" applyFont="1" applyBorder="1" applyAlignment="1">
      <alignment horizontal="center" vertical="center"/>
    </xf>
    <xf numFmtId="0" fontId="3" fillId="0" borderId="0" xfId="0" applyFont="1" applyAlignment="1">
      <alignment horizontal="center" vertical="center"/>
    </xf>
    <xf numFmtId="0" fontId="6" fillId="0" borderId="0" xfId="0" applyFont="1" applyAlignment="1">
      <alignment horizontal="justify" vertical="top" wrapText="1"/>
    </xf>
    <xf numFmtId="0" fontId="8" fillId="4" borderId="0" xfId="0" applyFont="1" applyFill="1" applyAlignment="1">
      <alignment horizontal="left" vertical="center"/>
    </xf>
    <xf numFmtId="0" fontId="4" fillId="0" borderId="13" xfId="0" applyFont="1" applyBorder="1" applyAlignment="1">
      <alignment horizontal="center" vertical="center"/>
    </xf>
    <xf numFmtId="0" fontId="5" fillId="4" borderId="26" xfId="0" applyFont="1" applyFill="1" applyBorder="1" applyAlignment="1">
      <alignment horizontal="left" vertical="center"/>
    </xf>
    <xf numFmtId="0" fontId="4" fillId="4" borderId="32" xfId="0" applyFont="1" applyFill="1" applyBorder="1" applyAlignment="1">
      <alignment horizontal="center" vertical="center"/>
    </xf>
    <xf numFmtId="0" fontId="4" fillId="4" borderId="31" xfId="0" applyFont="1" applyFill="1" applyBorder="1" applyAlignment="1">
      <alignment horizontal="center" vertical="center"/>
    </xf>
    <xf numFmtId="0" fontId="18" fillId="0" borderId="4" xfId="0" applyFont="1" applyBorder="1" applyAlignment="1">
      <alignment horizontal="left" vertical="center" wrapText="1"/>
    </xf>
    <xf numFmtId="0" fontId="18" fillId="0" borderId="0" xfId="0" applyFont="1" applyAlignment="1">
      <alignment horizontal="left" vertical="center" wrapText="1"/>
    </xf>
    <xf numFmtId="0" fontId="18" fillId="0" borderId="5" xfId="0" applyFont="1" applyBorder="1" applyAlignment="1">
      <alignment horizontal="left" vertical="center" wrapText="1"/>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0" xfId="0" applyFont="1" applyFill="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7" xfId="0" applyFont="1" applyFill="1" applyBorder="1" applyAlignment="1">
      <alignment horizontal="center" vertical="center"/>
    </xf>
    <xf numFmtId="14" fontId="4" fillId="0" borderId="18" xfId="0" applyNumberFormat="1" applyFont="1" applyBorder="1" applyAlignment="1">
      <alignment horizontal="center" vertical="center"/>
    </xf>
    <xf numFmtId="0" fontId="6" fillId="0" borderId="4" xfId="0" applyFont="1" applyBorder="1" applyAlignment="1">
      <alignment horizontal="justify" vertical="top" wrapText="1"/>
    </xf>
    <xf numFmtId="0" fontId="6" fillId="0" borderId="5" xfId="0" applyFont="1" applyBorder="1" applyAlignment="1">
      <alignment horizontal="justify" vertical="top" wrapText="1"/>
    </xf>
    <xf numFmtId="0" fontId="15" fillId="4" borderId="0" xfId="0" applyFont="1" applyFill="1" applyAlignment="1">
      <alignment horizontal="left" vertical="top"/>
    </xf>
    <xf numFmtId="0" fontId="30" fillId="5" borderId="8" xfId="0" applyFont="1" applyFill="1" applyBorder="1" applyAlignment="1">
      <alignment horizontal="center" vertical="center"/>
    </xf>
    <xf numFmtId="165" fontId="4" fillId="5" borderId="32" xfId="1" applyNumberFormat="1" applyFont="1" applyFill="1" applyBorder="1" applyAlignment="1">
      <alignment horizontal="center" vertical="center"/>
    </xf>
    <xf numFmtId="165" fontId="4" fillId="5" borderId="26" xfId="1" applyNumberFormat="1" applyFont="1" applyFill="1" applyBorder="1" applyAlignment="1">
      <alignment horizontal="center" vertical="center"/>
    </xf>
    <xf numFmtId="165" fontId="4" fillId="5" borderId="35" xfId="1" applyNumberFormat="1" applyFont="1" applyFill="1" applyBorder="1" applyAlignment="1">
      <alignment horizontal="center" vertical="center"/>
    </xf>
    <xf numFmtId="15" fontId="4" fillId="5" borderId="11" xfId="0" applyNumberFormat="1" applyFont="1" applyFill="1" applyBorder="1" applyAlignment="1">
      <alignment horizontal="left" vertical="center"/>
    </xf>
    <xf numFmtId="15" fontId="4" fillId="5" borderId="34" xfId="0" applyNumberFormat="1" applyFont="1" applyFill="1" applyBorder="1" applyAlignment="1">
      <alignment horizontal="left" vertical="center"/>
    </xf>
    <xf numFmtId="0" fontId="4" fillId="5" borderId="30" xfId="0" applyFont="1" applyFill="1" applyBorder="1" applyAlignment="1">
      <alignment horizontal="left" vertical="center"/>
    </xf>
    <xf numFmtId="0" fontId="4" fillId="5" borderId="33" xfId="0" applyFont="1" applyFill="1" applyBorder="1" applyAlignment="1">
      <alignment horizontal="left" vertical="center"/>
    </xf>
    <xf numFmtId="0" fontId="4" fillId="5" borderId="34" xfId="0" applyFont="1" applyFill="1" applyBorder="1" applyAlignment="1">
      <alignment horizontal="left" vertical="center"/>
    </xf>
    <xf numFmtId="0" fontId="4" fillId="5" borderId="29" xfId="0" applyFont="1" applyFill="1" applyBorder="1" applyAlignment="1">
      <alignment horizontal="left" vertical="center"/>
    </xf>
    <xf numFmtId="165" fontId="4" fillId="5" borderId="33" xfId="1" applyNumberFormat="1" applyFont="1" applyFill="1" applyBorder="1" applyAlignment="1">
      <alignment horizontal="center" vertical="center"/>
    </xf>
    <xf numFmtId="165" fontId="4" fillId="5" borderId="34" xfId="1" applyNumberFormat="1" applyFont="1" applyFill="1" applyBorder="1" applyAlignment="1">
      <alignment horizontal="center" vertical="center"/>
    </xf>
    <xf numFmtId="165" fontId="4" fillId="5" borderId="40" xfId="1" applyNumberFormat="1" applyFont="1" applyFill="1" applyBorder="1" applyAlignment="1">
      <alignment horizontal="center" vertical="center"/>
    </xf>
    <xf numFmtId="0" fontId="16" fillId="0" borderId="10" xfId="0" applyFont="1" applyBorder="1" applyAlignment="1">
      <alignment horizontal="center" vertical="top" wrapText="1"/>
    </xf>
    <xf numFmtId="0" fontId="16" fillId="0" borderId="26" xfId="0" applyFont="1" applyBorder="1" applyAlignment="1">
      <alignment horizontal="center" vertical="top" wrapText="1"/>
    </xf>
    <xf numFmtId="0" fontId="16" fillId="0" borderId="31" xfId="0" applyFont="1" applyBorder="1" applyAlignment="1">
      <alignment horizontal="center" vertical="top" wrapText="1"/>
    </xf>
    <xf numFmtId="0" fontId="17" fillId="0" borderId="8" xfId="0" applyFont="1" applyBorder="1" applyAlignment="1">
      <alignment horizontal="left" vertical="top" wrapText="1"/>
    </xf>
    <xf numFmtId="0" fontId="3" fillId="0" borderId="8" xfId="0" applyFont="1" applyBorder="1" applyAlignment="1">
      <alignment horizontal="center" vertical="center"/>
    </xf>
    <xf numFmtId="0" fontId="4" fillId="5" borderId="31" xfId="0" applyFont="1" applyFill="1" applyBorder="1" applyAlignment="1">
      <alignment horizontal="center" vertical="center"/>
    </xf>
    <xf numFmtId="0" fontId="4" fillId="5" borderId="8" xfId="0" applyFont="1" applyFill="1" applyBorder="1" applyAlignment="1">
      <alignment horizontal="center" vertical="center"/>
    </xf>
    <xf numFmtId="165" fontId="4" fillId="5" borderId="36" xfId="1" applyNumberFormat="1" applyFont="1" applyFill="1" applyBorder="1" applyAlignment="1">
      <alignment horizontal="center" vertical="center"/>
    </xf>
    <xf numFmtId="165" fontId="4" fillId="5" borderId="37" xfId="1" applyNumberFormat="1" applyFont="1" applyFill="1" applyBorder="1" applyAlignment="1">
      <alignment horizontal="center" vertical="center"/>
    </xf>
    <xf numFmtId="165" fontId="4" fillId="5" borderId="39" xfId="1" applyNumberFormat="1" applyFont="1" applyFill="1" applyBorder="1" applyAlignment="1">
      <alignment horizontal="center" vertical="center"/>
    </xf>
    <xf numFmtId="0" fontId="16" fillId="0" borderId="51" xfId="0" applyFont="1" applyBorder="1" applyAlignment="1">
      <alignment horizontal="center" textRotation="90" wrapText="1"/>
    </xf>
    <xf numFmtId="0" fontId="16" fillId="0" borderId="51" xfId="0" applyFont="1" applyBorder="1"/>
    <xf numFmtId="0" fontId="16" fillId="0" borderId="73" xfId="0" applyFont="1" applyBorder="1"/>
    <xf numFmtId="0" fontId="16" fillId="0" borderId="49"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0" xfId="0" applyFont="1" applyAlignment="1">
      <alignment horizontal="center" vertical="center" wrapText="1"/>
    </xf>
    <xf numFmtId="0" fontId="16" fillId="0" borderId="5" xfId="0" applyFont="1" applyBorder="1" applyAlignment="1">
      <alignment horizontal="center" vertical="center" wrapText="1"/>
    </xf>
    <xf numFmtId="165" fontId="4" fillId="5" borderId="33" xfId="1" applyNumberFormat="1" applyFont="1" applyFill="1" applyBorder="1" applyAlignment="1">
      <alignment horizontal="left" vertical="center"/>
    </xf>
    <xf numFmtId="165" fontId="4" fillId="5" borderId="34" xfId="1" applyNumberFormat="1" applyFont="1" applyFill="1" applyBorder="1" applyAlignment="1">
      <alignment horizontal="left" vertical="center"/>
    </xf>
    <xf numFmtId="165" fontId="4" fillId="5" borderId="40" xfId="1" applyNumberFormat="1" applyFont="1" applyFill="1" applyBorder="1" applyAlignment="1">
      <alignment horizontal="left" vertical="center"/>
    </xf>
    <xf numFmtId="0" fontId="2" fillId="5" borderId="32" xfId="0" applyFont="1" applyFill="1" applyBorder="1" applyAlignment="1">
      <alignment horizontal="left" vertical="center"/>
    </xf>
    <xf numFmtId="0" fontId="2" fillId="5" borderId="26" xfId="0" applyFont="1" applyFill="1" applyBorder="1" applyAlignment="1">
      <alignment horizontal="left" vertical="center"/>
    </xf>
    <xf numFmtId="0" fontId="2" fillId="5" borderId="31" xfId="0" applyFont="1" applyFill="1" applyBorder="1" applyAlignment="1">
      <alignment horizontal="left" vertical="center"/>
    </xf>
    <xf numFmtId="15" fontId="4" fillId="5" borderId="30" xfId="0" applyNumberFormat="1" applyFont="1" applyFill="1" applyBorder="1" applyAlignment="1">
      <alignment horizontal="left" vertical="center"/>
    </xf>
    <xf numFmtId="0" fontId="4" fillId="5" borderId="28" xfId="0" applyFont="1" applyFill="1" applyBorder="1" applyAlignment="1">
      <alignment horizontal="center" vertical="center"/>
    </xf>
    <xf numFmtId="15" fontId="4" fillId="5" borderId="8" xfId="0" applyNumberFormat="1" applyFont="1" applyFill="1" applyBorder="1" applyAlignment="1">
      <alignment horizontal="center" vertical="center"/>
    </xf>
    <xf numFmtId="0" fontId="23" fillId="0" borderId="13" xfId="0" applyFont="1" applyBorder="1" applyAlignment="1">
      <alignment horizontal="center" vertical="center"/>
    </xf>
    <xf numFmtId="15" fontId="4" fillId="5" borderId="28" xfId="0" applyNumberFormat="1" applyFont="1" applyFill="1" applyBorder="1" applyAlignment="1">
      <alignment horizontal="center" vertical="center"/>
    </xf>
    <xf numFmtId="15" fontId="4" fillId="5" borderId="9" xfId="0" applyNumberFormat="1" applyFont="1" applyFill="1" applyBorder="1" applyAlignment="1">
      <alignment horizontal="center" vertical="center"/>
    </xf>
    <xf numFmtId="15" fontId="4" fillId="5" borderId="37" xfId="0" applyNumberFormat="1" applyFont="1" applyFill="1" applyBorder="1" applyAlignment="1">
      <alignment horizontal="center" vertical="center"/>
    </xf>
    <xf numFmtId="0" fontId="4" fillId="5" borderId="36" xfId="0" applyFont="1" applyFill="1" applyBorder="1" applyAlignment="1">
      <alignment horizontal="center" vertical="center"/>
    </xf>
    <xf numFmtId="0" fontId="4" fillId="5" borderId="37" xfId="0" applyFont="1" applyFill="1" applyBorder="1" applyAlignment="1">
      <alignment horizontal="center" vertical="center"/>
    </xf>
    <xf numFmtId="0" fontId="4" fillId="5" borderId="38" xfId="0" applyFont="1" applyFill="1" applyBorder="1" applyAlignment="1">
      <alignment horizontal="center" vertical="center"/>
    </xf>
    <xf numFmtId="0" fontId="32" fillId="5" borderId="33" xfId="0" applyFont="1" applyFill="1" applyBorder="1" applyAlignment="1">
      <alignment horizontal="left" vertical="center"/>
    </xf>
    <xf numFmtId="0" fontId="32" fillId="5" borderId="34" xfId="0" applyFont="1" applyFill="1" applyBorder="1" applyAlignment="1">
      <alignment horizontal="left" vertical="center"/>
    </xf>
    <xf numFmtId="0" fontId="32" fillId="5" borderId="29" xfId="0" applyFont="1" applyFill="1" applyBorder="1" applyAlignment="1">
      <alignment horizontal="left" vertical="center"/>
    </xf>
    <xf numFmtId="165" fontId="4" fillId="5" borderId="32" xfId="1" applyNumberFormat="1" applyFont="1" applyFill="1" applyBorder="1" applyAlignment="1">
      <alignment horizontal="left" vertical="center"/>
    </xf>
    <xf numFmtId="165" fontId="4" fillId="5" borderId="26" xfId="1" applyNumberFormat="1" applyFont="1" applyFill="1" applyBorder="1" applyAlignment="1">
      <alignment horizontal="left" vertical="center"/>
    </xf>
    <xf numFmtId="165" fontId="4" fillId="5" borderId="35" xfId="1" applyNumberFormat="1" applyFont="1" applyFill="1" applyBorder="1" applyAlignment="1">
      <alignment horizontal="left" vertical="center"/>
    </xf>
    <xf numFmtId="0" fontId="22" fillId="0" borderId="4" xfId="0" applyFont="1" applyBorder="1" applyAlignment="1">
      <alignment horizontal="center"/>
    </xf>
    <xf numFmtId="0" fontId="22" fillId="0" borderId="0" xfId="0" applyFont="1" applyAlignment="1">
      <alignment horizontal="center"/>
    </xf>
    <xf numFmtId="0" fontId="22" fillId="0" borderId="5" xfId="0" applyFont="1" applyBorder="1" applyAlignment="1">
      <alignment horizontal="center"/>
    </xf>
    <xf numFmtId="165" fontId="4" fillId="0" borderId="8" xfId="1" applyNumberFormat="1" applyFont="1" applyBorder="1" applyAlignment="1">
      <alignment horizontal="center" vertical="center"/>
    </xf>
    <xf numFmtId="165" fontId="4" fillId="0" borderId="65" xfId="1" applyNumberFormat="1" applyFont="1" applyBorder="1" applyAlignment="1">
      <alignment horizontal="center" vertical="center"/>
    </xf>
    <xf numFmtId="0" fontId="3" fillId="5" borderId="13" xfId="0" applyFont="1" applyFill="1" applyBorder="1" applyAlignment="1">
      <alignment horizontal="center" vertical="center"/>
    </xf>
    <xf numFmtId="165" fontId="4" fillId="0" borderId="32" xfId="1" applyNumberFormat="1" applyFont="1" applyBorder="1" applyAlignment="1">
      <alignment horizontal="center" vertical="center"/>
    </xf>
    <xf numFmtId="165" fontId="4" fillId="0" borderId="26" xfId="1" applyNumberFormat="1" applyFont="1" applyBorder="1" applyAlignment="1">
      <alignment horizontal="center" vertical="center"/>
    </xf>
    <xf numFmtId="165" fontId="4" fillId="0" borderId="35" xfId="1" applyNumberFormat="1" applyFont="1" applyBorder="1" applyAlignment="1">
      <alignment horizontal="center" vertical="center"/>
    </xf>
    <xf numFmtId="0" fontId="3" fillId="2" borderId="0" xfId="0" applyFont="1" applyFill="1" applyAlignment="1">
      <alignment horizontal="center" vertical="center"/>
    </xf>
    <xf numFmtId="165" fontId="4" fillId="0" borderId="30" xfId="1" applyNumberFormat="1" applyFont="1" applyBorder="1" applyAlignment="1">
      <alignment horizontal="center" vertical="center"/>
    </xf>
    <xf numFmtId="165" fontId="4" fillId="0" borderId="67" xfId="1" applyNumberFormat="1" applyFont="1" applyBorder="1" applyAlignment="1">
      <alignment horizontal="center" vertical="center"/>
    </xf>
    <xf numFmtId="0" fontId="4" fillId="0" borderId="8" xfId="0" applyFont="1" applyBorder="1" applyAlignment="1">
      <alignment horizontal="left" vertical="center"/>
    </xf>
    <xf numFmtId="15" fontId="4" fillId="0" borderId="29" xfId="0" applyNumberFormat="1" applyFont="1" applyBorder="1" applyAlignment="1">
      <alignment horizontal="left" vertical="center"/>
    </xf>
    <xf numFmtId="15" fontId="4" fillId="0" borderId="30" xfId="0" applyNumberFormat="1" applyFont="1" applyBorder="1" applyAlignment="1">
      <alignment horizontal="left" vertical="center"/>
    </xf>
    <xf numFmtId="0" fontId="4" fillId="0" borderId="30" xfId="0" applyFont="1" applyBorder="1" applyAlignment="1">
      <alignment horizontal="left" vertical="center"/>
    </xf>
    <xf numFmtId="0" fontId="3" fillId="5" borderId="27" xfId="0" applyFont="1" applyFill="1" applyBorder="1" applyAlignment="1">
      <alignment horizontal="center" vertical="center"/>
    </xf>
    <xf numFmtId="15" fontId="4" fillId="0" borderId="31" xfId="0" applyNumberFormat="1" applyFont="1" applyBorder="1" applyAlignment="1">
      <alignment horizontal="center" vertical="center"/>
    </xf>
    <xf numFmtId="15" fontId="4" fillId="0" borderId="8" xfId="0" applyNumberFormat="1" applyFont="1" applyBorder="1" applyAlignment="1">
      <alignment horizontal="center" vertical="center"/>
    </xf>
    <xf numFmtId="165" fontId="4" fillId="0" borderId="44" xfId="1" applyNumberFormat="1" applyFont="1" applyBorder="1" applyAlignment="1">
      <alignment horizontal="center" vertical="center"/>
    </xf>
    <xf numFmtId="165" fontId="4" fillId="0" borderId="12" xfId="1" applyNumberFormat="1" applyFont="1" applyBorder="1" applyAlignment="1">
      <alignment horizontal="center" vertical="center"/>
    </xf>
    <xf numFmtId="165" fontId="4" fillId="0" borderId="45" xfId="1" applyNumberFormat="1" applyFont="1" applyBorder="1" applyAlignment="1">
      <alignment horizontal="center" vertical="center"/>
    </xf>
    <xf numFmtId="165" fontId="4" fillId="5" borderId="8" xfId="1" applyNumberFormat="1" applyFont="1" applyFill="1" applyBorder="1" applyAlignment="1">
      <alignment horizontal="center" vertical="center"/>
    </xf>
    <xf numFmtId="165" fontId="4" fillId="5" borderId="65" xfId="1" applyNumberFormat="1" applyFont="1" applyFill="1" applyBorder="1" applyAlignment="1">
      <alignment horizontal="center" vertical="center"/>
    </xf>
    <xf numFmtId="15" fontId="4" fillId="5" borderId="10" xfId="0" applyNumberFormat="1" applyFont="1" applyFill="1" applyBorder="1" applyAlignment="1">
      <alignment horizontal="left" vertical="center"/>
    </xf>
    <xf numFmtId="15" fontId="4" fillId="5" borderId="26" xfId="0" applyNumberFormat="1" applyFont="1" applyFill="1" applyBorder="1" applyAlignment="1">
      <alignment horizontal="left" vertical="center"/>
    </xf>
    <xf numFmtId="0" fontId="4" fillId="5" borderId="8" xfId="0" applyFont="1" applyFill="1" applyBorder="1" applyAlignment="1">
      <alignment horizontal="left" vertical="center"/>
    </xf>
    <xf numFmtId="0" fontId="4" fillId="5" borderId="32" xfId="0" applyFont="1" applyFill="1" applyBorder="1" applyAlignment="1">
      <alignment horizontal="left" vertical="center"/>
    </xf>
    <xf numFmtId="0" fontId="4" fillId="5" borderId="26" xfId="0" applyFont="1" applyFill="1" applyBorder="1" applyAlignment="1">
      <alignment horizontal="left" vertical="center"/>
    </xf>
    <xf numFmtId="0" fontId="4" fillId="5" borderId="31" xfId="0" applyFont="1" applyFill="1" applyBorder="1" applyAlignment="1">
      <alignment horizontal="left" vertical="center"/>
    </xf>
    <xf numFmtId="0" fontId="4" fillId="5" borderId="42" xfId="0" applyFont="1" applyFill="1" applyBorder="1" applyAlignment="1">
      <alignment horizontal="center" vertical="center"/>
    </xf>
    <xf numFmtId="0" fontId="4" fillId="5" borderId="43" xfId="0" applyFont="1" applyFill="1" applyBorder="1" applyAlignment="1">
      <alignment horizontal="center" vertical="center"/>
    </xf>
    <xf numFmtId="0" fontId="27" fillId="5" borderId="45" xfId="0" applyFont="1" applyFill="1" applyBorder="1"/>
    <xf numFmtId="0" fontId="3" fillId="5" borderId="0" xfId="0" applyFont="1" applyFill="1" applyAlignment="1">
      <alignment horizontal="left" vertical="center"/>
    </xf>
    <xf numFmtId="0" fontId="3" fillId="5" borderId="5" xfId="0" applyFont="1" applyFill="1" applyBorder="1" applyAlignment="1">
      <alignment horizontal="left" vertical="center"/>
    </xf>
    <xf numFmtId="0" fontId="3" fillId="5" borderId="42"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43" xfId="0" applyFont="1" applyFill="1" applyBorder="1" applyAlignment="1">
      <alignment horizontal="center" vertical="center"/>
    </xf>
    <xf numFmtId="0" fontId="4" fillId="5" borderId="37" xfId="0" applyFont="1" applyFill="1" applyBorder="1" applyAlignment="1">
      <alignment horizontal="left" vertical="center"/>
    </xf>
    <xf numFmtId="0" fontId="4" fillId="5" borderId="38" xfId="0" applyFont="1" applyFill="1" applyBorder="1" applyAlignment="1">
      <alignment horizontal="left" vertical="center"/>
    </xf>
    <xf numFmtId="15" fontId="4" fillId="5" borderId="36" xfId="0" applyNumberFormat="1" applyFont="1" applyFill="1" applyBorder="1" applyAlignment="1">
      <alignment horizontal="left" vertical="center"/>
    </xf>
    <xf numFmtId="15" fontId="4" fillId="5" borderId="37" xfId="0" applyNumberFormat="1" applyFont="1" applyFill="1" applyBorder="1" applyAlignment="1">
      <alignment horizontal="left" vertical="center"/>
    </xf>
    <xf numFmtId="15" fontId="4" fillId="5" borderId="38" xfId="0" applyNumberFormat="1" applyFont="1" applyFill="1" applyBorder="1" applyAlignment="1">
      <alignment horizontal="left" vertical="center"/>
    </xf>
    <xf numFmtId="15" fontId="4" fillId="5" borderId="32" xfId="0" applyNumberFormat="1" applyFont="1" applyFill="1" applyBorder="1" applyAlignment="1">
      <alignment horizontal="left" vertical="center"/>
    </xf>
    <xf numFmtId="15" fontId="4" fillId="5" borderId="31" xfId="0" applyNumberFormat="1" applyFont="1" applyFill="1" applyBorder="1" applyAlignment="1">
      <alignment horizontal="left" vertical="center"/>
    </xf>
    <xf numFmtId="165" fontId="4" fillId="5" borderId="30" xfId="1" applyNumberFormat="1" applyFont="1" applyFill="1" applyBorder="1" applyAlignment="1">
      <alignment horizontal="left" vertical="center"/>
    </xf>
    <xf numFmtId="165" fontId="4" fillId="5" borderId="67" xfId="1" applyNumberFormat="1" applyFont="1" applyFill="1" applyBorder="1" applyAlignment="1">
      <alignment horizontal="left" vertical="center"/>
    </xf>
    <xf numFmtId="0" fontId="4" fillId="5" borderId="44" xfId="0" applyFont="1" applyFill="1" applyBorder="1" applyAlignment="1">
      <alignment horizontal="center" vertical="center"/>
    </xf>
    <xf numFmtId="0" fontId="27" fillId="5" borderId="43" xfId="0" applyFont="1" applyFill="1" applyBorder="1"/>
    <xf numFmtId="15" fontId="4" fillId="5" borderId="33" xfId="0" applyNumberFormat="1" applyFont="1" applyFill="1" applyBorder="1" applyAlignment="1">
      <alignment horizontal="left" vertical="center"/>
    </xf>
    <xf numFmtId="15" fontId="4" fillId="5" borderId="29" xfId="0" applyNumberFormat="1" applyFont="1" applyFill="1" applyBorder="1" applyAlignment="1">
      <alignment horizontal="left" vertical="center"/>
    </xf>
    <xf numFmtId="0" fontId="3" fillId="5" borderId="44" xfId="0" applyFont="1" applyFill="1" applyBorder="1" applyAlignment="1">
      <alignment horizontal="center" vertical="center"/>
    </xf>
    <xf numFmtId="14" fontId="4" fillId="5" borderId="44" xfId="0" applyNumberFormat="1" applyFont="1" applyFill="1" applyBorder="1" applyAlignment="1">
      <alignment horizontal="right" vertical="center"/>
    </xf>
    <xf numFmtId="0" fontId="4" fillId="5" borderId="12" xfId="0" applyFont="1" applyFill="1" applyBorder="1" applyAlignment="1">
      <alignment horizontal="right" vertical="center"/>
    </xf>
    <xf numFmtId="0" fontId="4" fillId="5" borderId="43" xfId="0" applyFont="1" applyFill="1" applyBorder="1" applyAlignment="1">
      <alignment horizontal="right" vertical="center"/>
    </xf>
    <xf numFmtId="0" fontId="3" fillId="5" borderId="45" xfId="0" applyFont="1" applyFill="1" applyBorder="1" applyAlignment="1">
      <alignment horizontal="center" vertical="center"/>
    </xf>
    <xf numFmtId="165" fontId="4" fillId="5" borderId="51" xfId="1" applyNumberFormat="1" applyFont="1" applyFill="1" applyBorder="1" applyAlignment="1">
      <alignment horizontal="left" vertical="center"/>
    </xf>
    <xf numFmtId="165" fontId="4" fillId="5" borderId="75" xfId="1" applyNumberFormat="1" applyFont="1" applyFill="1" applyBorder="1" applyAlignment="1">
      <alignment horizontal="left" vertical="center"/>
    </xf>
    <xf numFmtId="0" fontId="2" fillId="5" borderId="71" xfId="0" applyFont="1" applyFill="1" applyBorder="1" applyAlignment="1">
      <alignment horizontal="right" vertical="center"/>
    </xf>
    <xf numFmtId="0" fontId="2" fillId="5" borderId="26" xfId="0" applyFont="1" applyFill="1" applyBorder="1" applyAlignment="1">
      <alignment horizontal="right" vertical="center"/>
    </xf>
    <xf numFmtId="0" fontId="2" fillId="5" borderId="62" xfId="0" applyFont="1" applyFill="1" applyBorder="1" applyAlignment="1">
      <alignment horizontal="right" vertical="center"/>
    </xf>
    <xf numFmtId="0" fontId="2" fillId="5" borderId="8" xfId="0" applyFont="1" applyFill="1" applyBorder="1" applyAlignment="1">
      <alignment horizontal="right" vertical="center"/>
    </xf>
    <xf numFmtId="0" fontId="2" fillId="5" borderId="32" xfId="0" applyFont="1" applyFill="1" applyBorder="1" applyAlignment="1">
      <alignment horizontal="right" vertical="center"/>
    </xf>
    <xf numFmtId="165" fontId="4" fillId="5" borderId="8" xfId="1" applyNumberFormat="1" applyFont="1" applyFill="1" applyBorder="1" applyAlignment="1">
      <alignment horizontal="left" vertical="center"/>
    </xf>
    <xf numFmtId="165" fontId="4" fillId="5" borderId="65" xfId="1" applyNumberFormat="1" applyFont="1" applyFill="1" applyBorder="1" applyAlignment="1">
      <alignment horizontal="left" vertical="center"/>
    </xf>
    <xf numFmtId="0" fontId="2" fillId="5" borderId="63" xfId="0" applyFont="1" applyFill="1" applyBorder="1" applyAlignment="1">
      <alignment horizontal="right" vertical="center"/>
    </xf>
    <xf numFmtId="0" fontId="2" fillId="5" borderId="54" xfId="0" applyFont="1" applyFill="1" applyBorder="1" applyAlignment="1">
      <alignment horizontal="right" vertical="center"/>
    </xf>
    <xf numFmtId="0" fontId="30" fillId="5" borderId="26" xfId="0" applyFont="1" applyFill="1" applyBorder="1" applyAlignment="1">
      <alignment horizontal="left" vertical="center"/>
    </xf>
    <xf numFmtId="0" fontId="30" fillId="5" borderId="31" xfId="0" applyFont="1" applyFill="1" applyBorder="1" applyAlignment="1">
      <alignment horizontal="left" vertical="center"/>
    </xf>
    <xf numFmtId="0" fontId="2" fillId="5" borderId="72" xfId="0" applyFont="1" applyFill="1" applyBorder="1" applyAlignment="1">
      <alignment horizontal="right" vertical="center"/>
    </xf>
    <xf numFmtId="0" fontId="2" fillId="5" borderId="37" xfId="0" applyFont="1" applyFill="1" applyBorder="1" applyAlignment="1">
      <alignment horizontal="right" vertical="center"/>
    </xf>
    <xf numFmtId="15" fontId="4" fillId="5" borderId="9" xfId="0" applyNumberFormat="1" applyFont="1" applyFill="1" applyBorder="1" applyAlignment="1">
      <alignment horizontal="left" vertical="center"/>
    </xf>
    <xf numFmtId="0" fontId="2" fillId="5" borderId="51" xfId="0" applyFont="1" applyFill="1" applyBorder="1" applyAlignment="1">
      <alignment horizontal="right" vertical="center"/>
    </xf>
    <xf numFmtId="0" fontId="2" fillId="5" borderId="36" xfId="0" applyFont="1" applyFill="1" applyBorder="1" applyAlignment="1">
      <alignment horizontal="right" vertical="center"/>
    </xf>
    <xf numFmtId="164" fontId="4" fillId="5" borderId="44" xfId="1" applyFont="1" applyFill="1" applyBorder="1" applyAlignment="1">
      <alignment horizontal="right" vertical="center"/>
    </xf>
    <xf numFmtId="164" fontId="4" fillId="5" borderId="12" xfId="1" applyFont="1" applyFill="1" applyBorder="1" applyAlignment="1">
      <alignment horizontal="right" vertical="center"/>
    </xf>
    <xf numFmtId="164" fontId="4" fillId="5" borderId="45" xfId="1" applyFont="1" applyFill="1" applyBorder="1" applyAlignment="1">
      <alignment horizontal="right" vertical="center"/>
    </xf>
    <xf numFmtId="0" fontId="4" fillId="5" borderId="42" xfId="0" applyFont="1" applyFill="1" applyBorder="1" applyAlignment="1">
      <alignment horizontal="right" vertical="center"/>
    </xf>
    <xf numFmtId="14" fontId="4" fillId="5" borderId="42" xfId="0" applyNumberFormat="1" applyFont="1" applyFill="1" applyBorder="1" applyAlignment="1">
      <alignment horizontal="right" vertical="center"/>
    </xf>
    <xf numFmtId="0" fontId="4" fillId="5" borderId="45" xfId="0" applyFont="1" applyFill="1" applyBorder="1" applyAlignment="1">
      <alignment horizontal="right" vertical="center"/>
    </xf>
    <xf numFmtId="0" fontId="2" fillId="5" borderId="55" xfId="0" applyFont="1" applyFill="1" applyBorder="1" applyAlignment="1">
      <alignment horizontal="right" vertical="center"/>
    </xf>
    <xf numFmtId="0" fontId="3" fillId="5" borderId="49"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46" xfId="0" applyFont="1" applyFill="1" applyBorder="1" applyAlignment="1">
      <alignment horizontal="center" vertical="center"/>
    </xf>
    <xf numFmtId="0" fontId="3" fillId="5" borderId="3" xfId="0" applyFont="1" applyFill="1" applyBorder="1" applyAlignment="1">
      <alignment horizontal="center" vertical="center"/>
    </xf>
    <xf numFmtId="0" fontId="31" fillId="5" borderId="0" xfId="0" applyFont="1" applyFill="1" applyAlignment="1">
      <alignment horizontal="left" vertical="center"/>
    </xf>
    <xf numFmtId="0" fontId="30" fillId="5" borderId="18" xfId="0" applyFont="1" applyFill="1" applyBorder="1" applyAlignment="1">
      <alignment horizontal="center" vertical="center"/>
    </xf>
    <xf numFmtId="0" fontId="4" fillId="5" borderId="18" xfId="0" applyFont="1" applyFill="1" applyBorder="1" applyAlignment="1">
      <alignment horizontal="center" vertical="center"/>
    </xf>
    <xf numFmtId="3" fontId="5" fillId="5" borderId="18" xfId="0" applyNumberFormat="1" applyFont="1" applyFill="1" applyBorder="1" applyAlignment="1">
      <alignment horizontal="center" vertical="center"/>
    </xf>
    <xf numFmtId="0" fontId="5" fillId="5" borderId="18" xfId="0" applyFont="1" applyFill="1" applyBorder="1" applyAlignment="1">
      <alignment horizontal="center" vertical="center"/>
    </xf>
    <xf numFmtId="0" fontId="5" fillId="5" borderId="78" xfId="0" applyFont="1" applyFill="1" applyBorder="1" applyAlignment="1">
      <alignment horizontal="center" vertical="center"/>
    </xf>
    <xf numFmtId="0" fontId="8" fillId="5" borderId="22" xfId="0" applyFont="1" applyFill="1" applyBorder="1" applyAlignment="1">
      <alignment horizontal="center" vertical="center"/>
    </xf>
    <xf numFmtId="0" fontId="8" fillId="5" borderId="0" xfId="0" applyFont="1" applyFill="1" applyAlignment="1">
      <alignment horizontal="center" vertical="center"/>
    </xf>
    <xf numFmtId="0" fontId="17" fillId="5" borderId="19" xfId="0" applyFont="1" applyFill="1" applyBorder="1" applyAlignment="1">
      <alignment horizontal="left" vertical="top" wrapText="1"/>
    </xf>
    <xf numFmtId="0" fontId="17" fillId="5" borderId="20" xfId="0" applyFont="1" applyFill="1" applyBorder="1" applyAlignment="1">
      <alignment horizontal="left" vertical="top" wrapText="1"/>
    </xf>
    <xf numFmtId="0" fontId="17" fillId="5" borderId="21" xfId="0" applyFont="1" applyFill="1" applyBorder="1" applyAlignment="1">
      <alignment horizontal="left" vertical="top" wrapText="1"/>
    </xf>
    <xf numFmtId="0" fontId="17" fillId="5" borderId="22" xfId="0" applyFont="1" applyFill="1" applyBorder="1" applyAlignment="1">
      <alignment horizontal="left" vertical="top" wrapText="1"/>
    </xf>
    <xf numFmtId="0" fontId="17" fillId="5" borderId="0" xfId="0" applyFont="1" applyFill="1" applyAlignment="1">
      <alignment horizontal="left" vertical="top" wrapText="1"/>
    </xf>
    <xf numFmtId="0" fontId="17" fillId="5" borderId="23" xfId="0" applyFont="1" applyFill="1" applyBorder="1" applyAlignment="1">
      <alignment horizontal="left" vertical="top" wrapText="1"/>
    </xf>
    <xf numFmtId="0" fontId="17" fillId="5" borderId="24" xfId="0" applyFont="1" applyFill="1" applyBorder="1" applyAlignment="1">
      <alignment horizontal="left" vertical="top" wrapText="1"/>
    </xf>
    <xf numFmtId="0" fontId="17" fillId="5" borderId="18" xfId="0" applyFont="1" applyFill="1" applyBorder="1" applyAlignment="1">
      <alignment horizontal="left" vertical="top" wrapText="1"/>
    </xf>
    <xf numFmtId="0" fontId="17" fillId="5" borderId="25" xfId="0" applyFont="1" applyFill="1" applyBorder="1" applyAlignment="1">
      <alignment horizontal="left" vertical="top" wrapText="1"/>
    </xf>
    <xf numFmtId="0" fontId="17" fillId="0" borderId="42" xfId="0" applyFont="1" applyBorder="1" applyAlignment="1">
      <alignment horizontal="center" vertical="center"/>
    </xf>
    <xf numFmtId="0" fontId="28" fillId="0" borderId="45" xfId="0" applyFont="1" applyBorder="1"/>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28" fillId="0" borderId="43" xfId="0" applyFont="1" applyBorder="1"/>
    <xf numFmtId="0" fontId="17" fillId="5" borderId="18" xfId="0" applyFont="1" applyFill="1" applyBorder="1" applyAlignment="1">
      <alignment horizontal="left" vertical="center"/>
    </xf>
    <xf numFmtId="0" fontId="8" fillId="5" borderId="23" xfId="0" applyFont="1" applyFill="1" applyBorder="1" applyAlignment="1">
      <alignment horizontal="left" vertical="center"/>
    </xf>
    <xf numFmtId="0" fontId="8" fillId="5" borderId="0" xfId="0" applyFont="1" applyFill="1" applyAlignment="1">
      <alignment horizontal="left" vertical="center"/>
    </xf>
    <xf numFmtId="0" fontId="11" fillId="0" borderId="0" xfId="0" applyFont="1" applyAlignment="1">
      <alignment horizontal="center" vertical="center"/>
    </xf>
    <xf numFmtId="0" fontId="3" fillId="0" borderId="79" xfId="0" applyFont="1" applyBorder="1" applyAlignment="1">
      <alignment horizontal="center" vertical="center"/>
    </xf>
    <xf numFmtId="0" fontId="3" fillId="0" borderId="80" xfId="0" applyFont="1" applyBorder="1" applyAlignment="1">
      <alignment horizontal="center" vertical="center"/>
    </xf>
    <xf numFmtId="164" fontId="17" fillId="0" borderId="18" xfId="1" applyFont="1" applyBorder="1" applyAlignment="1">
      <alignment horizontal="center" vertical="center"/>
    </xf>
    <xf numFmtId="0" fontId="3" fillId="0" borderId="2" xfId="0" applyFont="1" applyBorder="1" applyAlignment="1">
      <alignment horizontal="center" vertical="center"/>
    </xf>
    <xf numFmtId="0" fontId="3" fillId="0" borderId="46" xfId="0" applyFont="1" applyBorder="1" applyAlignment="1">
      <alignment horizontal="center" vertical="center"/>
    </xf>
    <xf numFmtId="0" fontId="2" fillId="5" borderId="30" xfId="0" applyFont="1" applyFill="1" applyBorder="1" applyAlignment="1">
      <alignment horizontal="right" vertical="center"/>
    </xf>
    <xf numFmtId="0" fontId="2" fillId="5" borderId="33" xfId="0" applyFont="1" applyFill="1" applyBorder="1" applyAlignment="1">
      <alignment horizontal="right" vertical="center"/>
    </xf>
    <xf numFmtId="0" fontId="2" fillId="5" borderId="61" xfId="0" applyFont="1" applyFill="1" applyBorder="1" applyAlignment="1">
      <alignment horizontal="right" vertical="center"/>
    </xf>
    <xf numFmtId="0" fontId="2" fillId="5" borderId="56" xfId="0" applyFont="1" applyFill="1" applyBorder="1" applyAlignment="1">
      <alignment horizontal="right" vertical="center"/>
    </xf>
    <xf numFmtId="0" fontId="2" fillId="5" borderId="70" xfId="0" applyFont="1" applyFill="1" applyBorder="1" applyAlignment="1">
      <alignment horizontal="right" vertical="center"/>
    </xf>
    <xf numFmtId="0" fontId="2" fillId="5" borderId="34" xfId="0" applyFont="1" applyFill="1" applyBorder="1" applyAlignment="1">
      <alignment horizontal="right" vertical="center"/>
    </xf>
    <xf numFmtId="15" fontId="4" fillId="5" borderId="47" xfId="0" applyNumberFormat="1" applyFont="1" applyFill="1" applyBorder="1" applyAlignment="1">
      <alignment horizontal="left" vertical="center"/>
    </xf>
    <xf numFmtId="15" fontId="4" fillId="5" borderId="13" xfId="0" applyNumberFormat="1" applyFont="1" applyFill="1" applyBorder="1" applyAlignment="1">
      <alignment horizontal="left" vertical="center"/>
    </xf>
    <xf numFmtId="15" fontId="4" fillId="5" borderId="48" xfId="0" applyNumberFormat="1" applyFont="1" applyFill="1" applyBorder="1" applyAlignment="1">
      <alignment horizontal="left" vertical="center"/>
    </xf>
    <xf numFmtId="0" fontId="3" fillId="0" borderId="49" xfId="0" applyFont="1" applyBorder="1" applyAlignment="1">
      <alignment horizontal="center" vertical="center"/>
    </xf>
    <xf numFmtId="165" fontId="4" fillId="0" borderId="51" xfId="1" applyNumberFormat="1" applyFont="1" applyBorder="1" applyAlignment="1">
      <alignment horizontal="center" vertical="center"/>
    </xf>
    <xf numFmtId="165" fontId="4" fillId="0" borderId="75" xfId="1" applyNumberFormat="1" applyFont="1" applyBorder="1" applyAlignment="1">
      <alignment horizontal="center" vertical="center"/>
    </xf>
    <xf numFmtId="0" fontId="4" fillId="0" borderId="51" xfId="0" applyFont="1" applyBorder="1" applyAlignment="1">
      <alignment horizontal="center" vertical="center"/>
    </xf>
    <xf numFmtId="165" fontId="4" fillId="0" borderId="6" xfId="1" applyNumberFormat="1" applyFont="1" applyBorder="1" applyAlignment="1">
      <alignment horizontal="center" vertical="center"/>
    </xf>
    <xf numFmtId="165" fontId="4" fillId="0" borderId="13" xfId="1" applyNumberFormat="1" applyFont="1" applyBorder="1" applyAlignment="1">
      <alignment horizontal="center" vertical="center"/>
    </xf>
    <xf numFmtId="165" fontId="4" fillId="0" borderId="7" xfId="1" applyNumberFormat="1" applyFont="1" applyBorder="1" applyAlignment="1">
      <alignment horizontal="center" vertical="center"/>
    </xf>
    <xf numFmtId="0" fontId="3" fillId="5" borderId="41" xfId="0" applyFont="1" applyFill="1" applyBorder="1" applyAlignment="1">
      <alignment horizontal="center" vertical="center"/>
    </xf>
    <xf numFmtId="0" fontId="4" fillId="5" borderId="32" xfId="0" applyFont="1" applyFill="1" applyBorder="1" applyAlignment="1">
      <alignment horizontal="center" vertical="center"/>
    </xf>
    <xf numFmtId="0" fontId="4" fillId="5" borderId="26" xfId="0" applyFont="1" applyFill="1" applyBorder="1" applyAlignment="1">
      <alignment horizontal="center" vertical="center"/>
    </xf>
    <xf numFmtId="15" fontId="4" fillId="0" borderId="31" xfId="0" applyNumberFormat="1" applyFont="1" applyBorder="1" applyAlignment="1">
      <alignment horizontal="left" vertical="center"/>
    </xf>
    <xf numFmtId="15" fontId="4" fillId="0" borderId="8" xfId="0" applyNumberFormat="1" applyFont="1" applyBorder="1" applyAlignment="1">
      <alignment horizontal="left" vertical="center"/>
    </xf>
    <xf numFmtId="0" fontId="3" fillId="5" borderId="50" xfId="0" applyFont="1" applyFill="1" applyBorder="1" applyAlignment="1">
      <alignment horizontal="center" vertical="center"/>
    </xf>
    <xf numFmtId="15" fontId="4" fillId="5" borderId="8" xfId="0" applyNumberFormat="1" applyFont="1" applyFill="1" applyBorder="1" applyAlignment="1">
      <alignment horizontal="left" vertical="center"/>
    </xf>
    <xf numFmtId="0" fontId="2" fillId="5" borderId="32" xfId="0" applyFont="1" applyFill="1" applyBorder="1" applyAlignment="1">
      <alignment horizontal="left" vertical="center" wrapText="1"/>
    </xf>
    <xf numFmtId="0" fontId="4" fillId="5" borderId="25" xfId="0" applyFont="1" applyFill="1" applyBorder="1" applyAlignment="1">
      <alignment horizontal="center" vertical="center"/>
    </xf>
    <xf numFmtId="15" fontId="4" fillId="5" borderId="10" xfId="0" applyNumberFormat="1" applyFont="1" applyFill="1" applyBorder="1" applyAlignment="1">
      <alignment horizontal="center" vertical="center"/>
    </xf>
    <xf numFmtId="15" fontId="4" fillId="5" borderId="26" xfId="0" applyNumberFormat="1" applyFont="1" applyFill="1" applyBorder="1" applyAlignment="1">
      <alignment horizontal="center" vertical="center"/>
    </xf>
    <xf numFmtId="0" fontId="2" fillId="5" borderId="36" xfId="0" applyFont="1" applyFill="1" applyBorder="1" applyAlignment="1">
      <alignment horizontal="left" vertical="center"/>
    </xf>
    <xf numFmtId="0" fontId="2" fillId="5" borderId="37" xfId="0" applyFont="1" applyFill="1" applyBorder="1" applyAlignment="1">
      <alignment horizontal="left" vertical="center"/>
    </xf>
    <xf numFmtId="0" fontId="2" fillId="5" borderId="38" xfId="0" applyFont="1" applyFill="1" applyBorder="1" applyAlignment="1">
      <alignment horizontal="left" vertical="center"/>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13" xfId="0" applyFont="1" applyBorder="1" applyAlignment="1">
      <alignment horizontal="left" vertical="top"/>
    </xf>
    <xf numFmtId="0" fontId="3" fillId="0" borderId="7" xfId="0" applyFont="1" applyBorder="1" applyAlignment="1">
      <alignment horizontal="left" vertical="top"/>
    </xf>
    <xf numFmtId="0" fontId="16" fillId="0" borderId="1"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6"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25" xfId="0" applyFont="1" applyBorder="1" applyAlignment="1">
      <alignment horizontal="center" vertical="center" wrapText="1"/>
    </xf>
    <xf numFmtId="0" fontId="23" fillId="0" borderId="44" xfId="0" applyFont="1" applyBorder="1" applyAlignment="1">
      <alignment horizontal="left" vertical="top" wrapText="1"/>
    </xf>
    <xf numFmtId="0" fontId="16" fillId="0" borderId="12" xfId="0" applyFont="1" applyBorder="1" applyAlignment="1">
      <alignment horizontal="left" vertical="top" wrapText="1"/>
    </xf>
    <xf numFmtId="0" fontId="16" fillId="0" borderId="45" xfId="0" applyFont="1" applyBorder="1" applyAlignment="1">
      <alignment horizontal="left" vertical="top" wrapText="1"/>
    </xf>
    <xf numFmtId="0" fontId="16" fillId="0" borderId="0" xfId="0" applyFont="1" applyAlignment="1">
      <alignment horizontal="center" wrapText="1"/>
    </xf>
    <xf numFmtId="0" fontId="3" fillId="0" borderId="32" xfId="0" applyFont="1" applyBorder="1" applyAlignment="1">
      <alignment horizontal="center" vertical="center"/>
    </xf>
    <xf numFmtId="0" fontId="3" fillId="0" borderId="26"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top"/>
    </xf>
    <xf numFmtId="0" fontId="3" fillId="0" borderId="26" xfId="0" applyFont="1" applyBorder="1" applyAlignment="1">
      <alignment horizontal="center" vertical="top"/>
    </xf>
    <xf numFmtId="0" fontId="3" fillId="0" borderId="35" xfId="0" applyFont="1" applyBorder="1" applyAlignment="1">
      <alignment horizontal="center" vertical="top"/>
    </xf>
    <xf numFmtId="0" fontId="4" fillId="0" borderId="32" xfId="0" applyFont="1" applyBorder="1" applyAlignment="1">
      <alignment horizontal="center" vertical="top" wrapText="1"/>
    </xf>
    <xf numFmtId="0" fontId="4" fillId="0" borderId="26" xfId="0" applyFont="1" applyBorder="1" applyAlignment="1">
      <alignment horizontal="center" vertical="top" wrapText="1"/>
    </xf>
    <xf numFmtId="0" fontId="4" fillId="0" borderId="35" xfId="0" applyFont="1" applyBorder="1" applyAlignment="1">
      <alignment horizontal="center" vertical="top" wrapText="1"/>
    </xf>
    <xf numFmtId="164" fontId="4" fillId="5" borderId="44" xfId="1" applyFont="1" applyFill="1" applyBorder="1" applyAlignment="1">
      <alignment horizontal="center" vertical="center"/>
    </xf>
    <xf numFmtId="164" fontId="4" fillId="5" borderId="12" xfId="1" applyFont="1" applyFill="1" applyBorder="1" applyAlignment="1">
      <alignment horizontal="center" vertical="center"/>
    </xf>
    <xf numFmtId="164" fontId="4" fillId="5" borderId="45" xfId="1" applyFont="1" applyFill="1" applyBorder="1" applyAlignment="1">
      <alignment horizontal="center" vertical="center"/>
    </xf>
    <xf numFmtId="165" fontId="4" fillId="4" borderId="28" xfId="1" applyNumberFormat="1" applyFont="1" applyFill="1" applyBorder="1" applyAlignment="1">
      <alignment horizontal="center" vertical="center"/>
    </xf>
    <xf numFmtId="165" fontId="4" fillId="4" borderId="69" xfId="1" applyNumberFormat="1" applyFont="1" applyFill="1" applyBorder="1" applyAlignment="1">
      <alignment horizontal="center" vertical="center"/>
    </xf>
    <xf numFmtId="164" fontId="4" fillId="0" borderId="6" xfId="1" applyFont="1" applyFill="1" applyBorder="1" applyAlignment="1">
      <alignment horizontal="center" vertical="center"/>
    </xf>
    <xf numFmtId="164" fontId="4" fillId="0" borderId="13" xfId="1" applyFont="1" applyFill="1" applyBorder="1" applyAlignment="1">
      <alignment horizontal="center" vertical="center"/>
    </xf>
    <xf numFmtId="164" fontId="4" fillId="0" borderId="7" xfId="1" applyFont="1" applyFill="1" applyBorder="1" applyAlignment="1">
      <alignment horizontal="center" vertical="center"/>
    </xf>
    <xf numFmtId="0" fontId="4" fillId="0" borderId="30" xfId="0" applyFont="1" applyBorder="1" applyAlignment="1">
      <alignment horizontal="center" vertical="center"/>
    </xf>
    <xf numFmtId="0" fontId="4" fillId="4" borderId="77" xfId="0" applyFont="1" applyFill="1" applyBorder="1" applyAlignment="1">
      <alignment horizontal="center" vertical="center"/>
    </xf>
    <xf numFmtId="164" fontId="23" fillId="0" borderId="0" xfId="1" applyFont="1" applyBorder="1" applyAlignment="1">
      <alignment horizontal="center" vertical="center" wrapText="1"/>
    </xf>
    <xf numFmtId="15" fontId="4" fillId="4" borderId="28" xfId="0" applyNumberFormat="1" applyFont="1" applyFill="1" applyBorder="1" applyAlignment="1">
      <alignment horizontal="center" vertical="center"/>
    </xf>
    <xf numFmtId="0" fontId="26" fillId="3" borderId="0" xfId="0" applyFont="1" applyFill="1" applyAlignment="1">
      <alignment horizontal="center" vertical="center" wrapText="1"/>
    </xf>
    <xf numFmtId="0" fontId="4" fillId="4" borderId="28" xfId="0" applyFont="1" applyFill="1" applyBorder="1" applyAlignment="1">
      <alignment horizontal="left" vertical="center" wrapText="1"/>
    </xf>
    <xf numFmtId="0" fontId="3" fillId="0" borderId="13" xfId="0" applyFont="1" applyBorder="1" applyAlignment="1">
      <alignment horizontal="center"/>
    </xf>
    <xf numFmtId="0" fontId="4" fillId="5" borderId="28" xfId="0" applyFont="1" applyFill="1" applyBorder="1" applyAlignment="1">
      <alignment horizontal="left" vertical="center" wrapText="1"/>
    </xf>
    <xf numFmtId="0" fontId="5" fillId="4" borderId="18" xfId="0" applyFont="1" applyFill="1" applyBorder="1" applyAlignment="1">
      <alignment horizontal="left"/>
    </xf>
    <xf numFmtId="0" fontId="4" fillId="5" borderId="0" xfId="0" applyFont="1" applyFill="1" applyAlignment="1">
      <alignment horizontal="center" vertical="center"/>
    </xf>
    <xf numFmtId="0" fontId="3" fillId="5" borderId="27" xfId="0" applyFont="1" applyFill="1" applyBorder="1" applyAlignment="1">
      <alignment horizontal="center" vertical="center" wrapText="1"/>
    </xf>
    <xf numFmtId="164" fontId="4" fillId="0" borderId="44" xfId="1" applyFont="1" applyFill="1" applyBorder="1" applyAlignment="1">
      <alignment horizontal="center" vertical="center"/>
    </xf>
    <xf numFmtId="164" fontId="4" fillId="0" borderId="12" xfId="1" applyFont="1" applyFill="1" applyBorder="1" applyAlignment="1">
      <alignment horizontal="center" vertical="center"/>
    </xf>
    <xf numFmtId="164" fontId="4" fillId="0" borderId="45" xfId="1" applyFont="1" applyFill="1" applyBorder="1" applyAlignment="1">
      <alignment horizontal="center" vertical="center"/>
    </xf>
    <xf numFmtId="166" fontId="4" fillId="5" borderId="44" xfId="1" applyNumberFormat="1" applyFont="1" applyFill="1" applyBorder="1" applyAlignment="1">
      <alignment horizontal="center" vertical="center" wrapText="1"/>
    </xf>
    <xf numFmtId="164" fontId="4" fillId="5" borderId="12" xfId="1" applyFont="1" applyFill="1" applyBorder="1" applyAlignment="1">
      <alignment horizontal="center" vertical="center" wrapText="1"/>
    </xf>
    <xf numFmtId="164" fontId="4" fillId="5" borderId="45" xfId="1" applyFont="1" applyFill="1" applyBorder="1" applyAlignment="1">
      <alignment horizontal="center" vertical="center" wrapText="1"/>
    </xf>
    <xf numFmtId="0" fontId="23" fillId="5" borderId="0" xfId="0" applyFont="1" applyFill="1" applyAlignment="1">
      <alignment horizontal="center" vertical="center"/>
    </xf>
    <xf numFmtId="0" fontId="23" fillId="5" borderId="44"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45" xfId="0" applyFont="1" applyFill="1" applyBorder="1" applyAlignment="1">
      <alignment horizontal="left" vertical="top" wrapText="1"/>
    </xf>
    <xf numFmtId="165" fontId="4" fillId="5" borderId="28" xfId="1" applyNumberFormat="1" applyFont="1" applyFill="1" applyBorder="1" applyAlignment="1">
      <alignment horizontal="center" vertical="center"/>
    </xf>
    <xf numFmtId="165" fontId="4" fillId="5" borderId="69" xfId="1" applyNumberFormat="1" applyFont="1" applyFill="1" applyBorder="1" applyAlignment="1">
      <alignment horizontal="center" vertical="center"/>
    </xf>
    <xf numFmtId="0" fontId="3" fillId="2" borderId="0" xfId="0" applyFont="1" applyFill="1" applyAlignment="1">
      <alignment horizontal="center" vertical="center" wrapText="1"/>
    </xf>
    <xf numFmtId="0" fontId="3" fillId="0" borderId="41" xfId="0" applyFont="1" applyBorder="1" applyAlignment="1">
      <alignment horizontal="center" vertical="center"/>
    </xf>
    <xf numFmtId="0" fontId="4" fillId="0" borderId="49" xfId="0" applyFont="1" applyBorder="1" applyAlignment="1">
      <alignment horizontal="center" vertical="center"/>
    </xf>
    <xf numFmtId="0" fontId="4" fillId="0" borderId="2" xfId="0" applyFont="1" applyBorder="1" applyAlignment="1">
      <alignment horizontal="center" vertical="center"/>
    </xf>
    <xf numFmtId="0" fontId="4" fillId="0" borderId="46"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15" fontId="4" fillId="0" borderId="1" xfId="0" applyNumberFormat="1" applyFont="1" applyBorder="1" applyAlignment="1">
      <alignment horizontal="center" vertical="center"/>
    </xf>
    <xf numFmtId="15" fontId="4" fillId="0" borderId="2" xfId="0" applyNumberFormat="1" applyFont="1" applyBorder="1" applyAlignment="1">
      <alignment horizontal="center" vertical="center"/>
    </xf>
    <xf numFmtId="15" fontId="4" fillId="0" borderId="46" xfId="0" applyNumberFormat="1" applyFont="1" applyBorder="1" applyAlignment="1">
      <alignment horizontal="center" vertical="center"/>
    </xf>
    <xf numFmtId="15" fontId="4" fillId="0" borderId="82" xfId="0" applyNumberFormat="1" applyFont="1" applyBorder="1" applyAlignment="1">
      <alignment horizontal="center" vertical="center"/>
    </xf>
    <xf numFmtId="15" fontId="4" fillId="0" borderId="18" xfId="0" applyNumberFormat="1" applyFont="1" applyBorder="1" applyAlignment="1">
      <alignment horizontal="center" vertical="center"/>
    </xf>
    <xf numFmtId="15" fontId="4" fillId="0" borderId="25" xfId="0" applyNumberFormat="1" applyFont="1" applyBorder="1" applyAlignment="1">
      <alignment horizontal="center" vertical="center"/>
    </xf>
  </cellXfs>
  <cellStyles count="4">
    <cellStyle name="Millares" xfId="3" builtinId="3"/>
    <cellStyle name="Moneda" xfId="1" builtinId="4"/>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46</xdr:col>
      <xdr:colOff>14</xdr:colOff>
      <xdr:row>0</xdr:row>
      <xdr:rowOff>100854</xdr:rowOff>
    </xdr:from>
    <xdr:to>
      <xdr:col>46</xdr:col>
      <xdr:colOff>276239</xdr:colOff>
      <xdr:row>2</xdr:row>
      <xdr:rowOff>63314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14" y="100854"/>
          <a:ext cx="276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0</xdr:row>
      <xdr:rowOff>38100</xdr:rowOff>
    </xdr:from>
    <xdr:to>
      <xdr:col>6</xdr:col>
      <xdr:colOff>643119</xdr:colOff>
      <xdr:row>3</xdr:row>
      <xdr:rowOff>123825</xdr:rowOff>
    </xdr:to>
    <xdr:pic>
      <xdr:nvPicPr>
        <xdr:cNvPr id="4" name="Imagen 3" descr="Interfaz de usuario gráfica&#10;&#10;Descripción generada automáticamente">
          <a:extLst>
            <a:ext uri="{FF2B5EF4-FFF2-40B4-BE49-F238E27FC236}">
              <a16:creationId xmlns:a16="http://schemas.microsoft.com/office/drawing/2014/main" id="{F75A2DC1-54D4-4A58-AE3C-0206365DB1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38100"/>
          <a:ext cx="1576569" cy="542925"/>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J156"/>
  <sheetViews>
    <sheetView showGridLines="0" tabSelected="1" view="pageBreakPreview" zoomScaleNormal="100" zoomScaleSheetLayoutView="100" zoomScalePageLayoutView="70" workbookViewId="0">
      <selection activeCell="I9" sqref="I9:AB9"/>
    </sheetView>
  </sheetViews>
  <sheetFormatPr baseColWidth="10" defaultColWidth="2.7265625" defaultRowHeight="12.65" customHeight="1" x14ac:dyDescent="0.35"/>
  <cols>
    <col min="1" max="1" width="1.54296875" style="3" customWidth="1"/>
    <col min="2" max="2" width="3.26953125" style="3" customWidth="1"/>
    <col min="3" max="6" width="2.7265625" style="3"/>
    <col min="7" max="7" width="10.26953125" style="3" customWidth="1"/>
    <col min="8" max="21" width="2.7265625" style="3"/>
    <col min="22" max="22" width="2.7265625" style="3" customWidth="1"/>
    <col min="23" max="23" width="5.54296875" style="3" customWidth="1"/>
    <col min="24" max="29" width="2.7265625" style="3"/>
    <col min="30" max="30" width="4.1796875" style="3" customWidth="1"/>
    <col min="31" max="43" width="2.7265625" style="3"/>
    <col min="44" max="45" width="2.7265625" style="3" customWidth="1"/>
    <col min="46" max="47" width="4.7265625" style="3" customWidth="1"/>
    <col min="48" max="51" width="2.7265625" style="3"/>
    <col min="52" max="52" width="13.81640625" style="3" customWidth="1"/>
    <col min="53" max="16384" width="2.7265625" style="3"/>
  </cols>
  <sheetData>
    <row r="1" spans="1:47" ht="12.65" customHeight="1" thickBot="1" x14ac:dyDescent="0.4">
      <c r="A1" s="6"/>
      <c r="B1" s="7"/>
      <c r="C1" s="7"/>
      <c r="D1" s="7"/>
      <c r="E1" s="7"/>
      <c r="F1" s="7"/>
      <c r="G1" s="7"/>
      <c r="H1" s="7"/>
      <c r="I1" s="8"/>
      <c r="J1" s="8"/>
      <c r="K1" s="8"/>
      <c r="L1" s="8"/>
      <c r="M1" s="8"/>
      <c r="N1" s="8"/>
      <c r="O1" s="8"/>
      <c r="P1" s="8"/>
      <c r="Q1" s="8"/>
      <c r="R1" s="8"/>
      <c r="S1" s="9"/>
      <c r="T1" s="9"/>
      <c r="U1" s="9"/>
      <c r="V1" s="9"/>
      <c r="W1" s="10"/>
      <c r="X1" s="10"/>
      <c r="Y1" s="10"/>
      <c r="Z1" s="10"/>
      <c r="AA1" s="10"/>
      <c r="AB1" s="10"/>
      <c r="AC1" s="10"/>
      <c r="AD1" s="10"/>
      <c r="AE1" s="11"/>
      <c r="AF1" s="11"/>
      <c r="AG1" s="11"/>
      <c r="AH1" s="11"/>
      <c r="AI1" s="11"/>
      <c r="AJ1" s="11"/>
      <c r="AK1" s="11"/>
      <c r="AL1" s="11"/>
      <c r="AM1" s="11"/>
      <c r="AN1" s="11"/>
      <c r="AO1" s="11"/>
      <c r="AP1" s="11"/>
      <c r="AQ1" s="11"/>
      <c r="AR1" s="11"/>
      <c r="AS1" s="11"/>
      <c r="AT1" s="11"/>
      <c r="AU1" s="12"/>
    </row>
    <row r="2" spans="1:47" ht="12.65" customHeight="1" thickBot="1" x14ac:dyDescent="0.35">
      <c r="A2" s="13"/>
      <c r="B2" s="17"/>
      <c r="C2" s="17"/>
      <c r="D2" s="17"/>
      <c r="E2" s="17"/>
      <c r="F2" s="17"/>
      <c r="G2" s="17"/>
      <c r="H2" s="17"/>
      <c r="I2" s="17"/>
      <c r="J2" s="300" t="s">
        <v>56</v>
      </c>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6"/>
      <c r="AM2" s="17"/>
      <c r="AN2" s="26" t="s">
        <v>43</v>
      </c>
      <c r="AO2" s="295">
        <v>16</v>
      </c>
      <c r="AP2" s="296"/>
      <c r="AQ2" s="292">
        <v>1</v>
      </c>
      <c r="AR2" s="294"/>
      <c r="AS2" s="292">
        <v>2026</v>
      </c>
      <c r="AT2" s="293"/>
      <c r="AU2" s="14"/>
    </row>
    <row r="3" spans="1:47" ht="12.65" customHeight="1" x14ac:dyDescent="0.35">
      <c r="A3" s="13"/>
      <c r="B3" s="17"/>
      <c r="C3" s="17"/>
      <c r="D3" s="17"/>
      <c r="E3" s="17"/>
      <c r="F3" s="17"/>
      <c r="G3" s="17"/>
      <c r="H3" s="17"/>
      <c r="I3" s="17"/>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300"/>
      <c r="AL3" s="17"/>
      <c r="AM3" s="17"/>
      <c r="AN3" s="26"/>
      <c r="AO3" s="34"/>
      <c r="AP3" s="35"/>
      <c r="AQ3" s="34"/>
      <c r="AR3" s="34"/>
      <c r="AS3" s="34"/>
      <c r="AT3" s="35"/>
      <c r="AU3" s="14"/>
    </row>
    <row r="4" spans="1:47" ht="12.65" customHeight="1" x14ac:dyDescent="0.35">
      <c r="A4" s="13"/>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14"/>
    </row>
    <row r="5" spans="1:47" ht="12.65" customHeight="1" x14ac:dyDescent="0.35">
      <c r="A5" s="13"/>
      <c r="B5" s="199" t="s">
        <v>0</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4"/>
    </row>
    <row r="6" spans="1:47" ht="12.65" customHeight="1" x14ac:dyDescent="0.35">
      <c r="A6" s="1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14"/>
    </row>
    <row r="7" spans="1:47" s="63" customFormat="1" ht="12.65" customHeight="1" x14ac:dyDescent="0.35">
      <c r="A7" s="59"/>
      <c r="B7" s="223" t="s">
        <v>57</v>
      </c>
      <c r="C7" s="223"/>
      <c r="D7" s="223"/>
      <c r="E7" s="223"/>
      <c r="F7" s="223"/>
      <c r="G7" s="223"/>
      <c r="H7" s="223"/>
      <c r="I7" s="276" t="s">
        <v>148</v>
      </c>
      <c r="J7" s="276"/>
      <c r="K7" s="276"/>
      <c r="L7" s="276"/>
      <c r="M7" s="276"/>
      <c r="N7" s="276"/>
      <c r="O7" s="276"/>
      <c r="P7" s="276"/>
      <c r="Q7" s="276"/>
      <c r="R7" s="276"/>
      <c r="S7" s="276"/>
      <c r="T7" s="276"/>
      <c r="U7" s="276"/>
      <c r="V7" s="276"/>
      <c r="W7" s="276"/>
      <c r="X7" s="276"/>
      <c r="Y7" s="276"/>
      <c r="Z7" s="276"/>
      <c r="AA7" s="276"/>
      <c r="AB7" s="276"/>
      <c r="AC7" s="61"/>
      <c r="AD7" s="223" t="s">
        <v>5</v>
      </c>
      <c r="AE7" s="223"/>
      <c r="AF7" s="223"/>
      <c r="AG7" s="223"/>
      <c r="AH7" s="223"/>
      <c r="AI7" s="223"/>
      <c r="AJ7" s="223"/>
      <c r="AK7" s="297" t="s">
        <v>142</v>
      </c>
      <c r="AL7" s="297"/>
      <c r="AM7" s="297"/>
      <c r="AN7" s="297"/>
      <c r="AO7" s="297"/>
      <c r="AP7" s="297"/>
      <c r="AQ7" s="297"/>
      <c r="AR7" s="297"/>
      <c r="AS7" s="297"/>
      <c r="AT7" s="297"/>
      <c r="AU7" s="62"/>
    </row>
    <row r="8" spans="1:47" s="63" customFormat="1" ht="12.65" customHeight="1" x14ac:dyDescent="0.35">
      <c r="A8" s="59"/>
      <c r="B8" s="223" t="s">
        <v>1</v>
      </c>
      <c r="C8" s="223"/>
      <c r="D8" s="223"/>
      <c r="E8" s="223"/>
      <c r="F8" s="223"/>
      <c r="G8" s="223"/>
      <c r="H8" s="223"/>
      <c r="I8" s="277" t="s">
        <v>150</v>
      </c>
      <c r="J8" s="277"/>
      <c r="K8" s="277"/>
      <c r="L8" s="277"/>
      <c r="M8" s="277"/>
      <c r="N8" s="277"/>
      <c r="O8" s="277"/>
      <c r="P8" s="277"/>
      <c r="Q8" s="277"/>
      <c r="R8" s="277"/>
      <c r="S8" s="277"/>
      <c r="T8" s="277"/>
      <c r="U8" s="277"/>
      <c r="V8" s="277"/>
      <c r="W8" s="277"/>
      <c r="X8" s="277"/>
      <c r="Y8" s="277"/>
      <c r="Z8" s="277"/>
      <c r="AA8" s="277"/>
      <c r="AB8" s="277"/>
      <c r="AC8" s="64"/>
      <c r="AD8" s="298" t="s">
        <v>73</v>
      </c>
      <c r="AE8" s="298"/>
      <c r="AF8" s="298"/>
      <c r="AG8" s="298"/>
      <c r="AH8" s="298"/>
      <c r="AI8" s="298"/>
      <c r="AJ8" s="299"/>
      <c r="AK8" s="279" t="s">
        <v>149</v>
      </c>
      <c r="AL8" s="279"/>
      <c r="AM8" s="279"/>
      <c r="AN8" s="279"/>
      <c r="AO8" s="279"/>
      <c r="AP8" s="279"/>
      <c r="AQ8" s="279"/>
      <c r="AR8" s="279"/>
      <c r="AS8" s="279"/>
      <c r="AT8" s="280"/>
      <c r="AU8" s="62"/>
    </row>
    <row r="9" spans="1:47" s="63" customFormat="1" ht="12.65" customHeight="1" x14ac:dyDescent="0.35">
      <c r="A9" s="59"/>
      <c r="B9" s="223" t="s">
        <v>2</v>
      </c>
      <c r="C9" s="223"/>
      <c r="D9" s="223"/>
      <c r="E9" s="223"/>
      <c r="F9" s="223"/>
      <c r="G9" s="223"/>
      <c r="H9" s="223"/>
      <c r="I9" s="276" t="s">
        <v>147</v>
      </c>
      <c r="J9" s="276"/>
      <c r="K9" s="276"/>
      <c r="L9" s="276"/>
      <c r="M9" s="276"/>
      <c r="N9" s="276"/>
      <c r="O9" s="276"/>
      <c r="P9" s="276"/>
      <c r="Q9" s="276"/>
      <c r="R9" s="276"/>
      <c r="S9" s="276"/>
      <c r="T9" s="276"/>
      <c r="U9" s="276"/>
      <c r="V9" s="276"/>
      <c r="W9" s="276"/>
      <c r="X9" s="276"/>
      <c r="Y9" s="276"/>
      <c r="Z9" s="276"/>
      <c r="AA9" s="276"/>
      <c r="AB9" s="276"/>
      <c r="AC9" s="64"/>
      <c r="AD9" s="65" t="s">
        <v>34</v>
      </c>
      <c r="AE9" s="66" t="s">
        <v>100</v>
      </c>
      <c r="AF9" s="67"/>
      <c r="AG9" s="68" t="s">
        <v>13</v>
      </c>
      <c r="AH9" s="66"/>
      <c r="AI9" s="281" t="s">
        <v>3</v>
      </c>
      <c r="AJ9" s="282"/>
      <c r="AK9" s="278" t="s">
        <v>143</v>
      </c>
      <c r="AL9" s="279"/>
      <c r="AM9" s="279"/>
      <c r="AN9" s="279"/>
      <c r="AO9" s="279"/>
      <c r="AP9" s="279"/>
      <c r="AQ9" s="279"/>
      <c r="AR9" s="279"/>
      <c r="AS9" s="279"/>
      <c r="AT9" s="280"/>
      <c r="AU9" s="62"/>
    </row>
    <row r="10" spans="1:47" s="63" customFormat="1" ht="12.65" customHeight="1" x14ac:dyDescent="0.3">
      <c r="A10" s="59"/>
      <c r="B10" s="223" t="s">
        <v>4</v>
      </c>
      <c r="C10" s="223"/>
      <c r="D10" s="223"/>
      <c r="E10" s="223"/>
      <c r="F10" s="223"/>
      <c r="G10" s="223"/>
      <c r="H10" s="223"/>
      <c r="I10" s="276" t="s">
        <v>144</v>
      </c>
      <c r="J10" s="276"/>
      <c r="K10" s="276"/>
      <c r="L10" s="276"/>
      <c r="M10" s="276"/>
      <c r="N10" s="276"/>
      <c r="O10" s="276"/>
      <c r="P10" s="276"/>
      <c r="Q10" s="276"/>
      <c r="R10" s="276"/>
      <c r="S10" s="276"/>
      <c r="T10" s="276"/>
      <c r="U10" s="276"/>
      <c r="V10" s="276"/>
      <c r="W10" s="276"/>
      <c r="X10" s="276"/>
      <c r="Y10" s="276"/>
      <c r="Z10" s="276"/>
      <c r="AA10" s="276"/>
      <c r="AB10" s="276"/>
      <c r="AC10" s="64"/>
      <c r="AD10" s="67"/>
      <c r="AE10" s="67"/>
      <c r="AF10" s="67"/>
      <c r="AG10" s="68" t="s">
        <v>13</v>
      </c>
      <c r="AH10" s="70" t="s">
        <v>100</v>
      </c>
      <c r="AI10" s="282" t="s">
        <v>3</v>
      </c>
      <c r="AJ10" s="282"/>
      <c r="AK10" s="278">
        <v>94402876</v>
      </c>
      <c r="AL10" s="279"/>
      <c r="AM10" s="279"/>
      <c r="AN10" s="279"/>
      <c r="AO10" s="279"/>
      <c r="AP10" s="279"/>
      <c r="AQ10" s="279"/>
      <c r="AR10" s="279"/>
      <c r="AS10" s="279"/>
      <c r="AT10" s="280"/>
      <c r="AU10" s="62"/>
    </row>
    <row r="11" spans="1:47" s="63" customFormat="1" ht="6.75" customHeight="1" x14ac:dyDescent="0.3">
      <c r="A11" s="59"/>
      <c r="B11" s="60"/>
      <c r="C11" s="60"/>
      <c r="D11" s="60"/>
      <c r="E11" s="60"/>
      <c r="F11" s="60"/>
      <c r="G11" s="60"/>
      <c r="H11" s="60"/>
      <c r="I11" s="71"/>
      <c r="J11" s="71"/>
      <c r="K11" s="71"/>
      <c r="L11" s="71"/>
      <c r="M11" s="71"/>
      <c r="N11" s="71"/>
      <c r="O11" s="71"/>
      <c r="P11" s="71"/>
      <c r="Q11" s="71"/>
      <c r="R11" s="71"/>
      <c r="S11" s="71"/>
      <c r="T11" s="71"/>
      <c r="U11" s="71"/>
      <c r="V11" s="71"/>
      <c r="W11" s="71"/>
      <c r="X11" s="71"/>
      <c r="Y11" s="71"/>
      <c r="Z11" s="71"/>
      <c r="AA11" s="71"/>
      <c r="AB11" s="71"/>
      <c r="AC11" s="64"/>
      <c r="AD11" s="67"/>
      <c r="AE11" s="67"/>
      <c r="AF11" s="67"/>
      <c r="AG11" s="68"/>
      <c r="AH11" s="72"/>
      <c r="AI11" s="69"/>
      <c r="AJ11" s="69"/>
      <c r="AK11" s="73"/>
      <c r="AL11" s="73"/>
      <c r="AM11" s="73"/>
      <c r="AN11" s="73"/>
      <c r="AO11" s="73"/>
      <c r="AP11" s="73"/>
      <c r="AQ11" s="73"/>
      <c r="AR11" s="73"/>
      <c r="AS11" s="73"/>
      <c r="AT11" s="73"/>
      <c r="AU11" s="62"/>
    </row>
    <row r="12" spans="1:47" s="63" customFormat="1" ht="12.65" customHeight="1" x14ac:dyDescent="0.3">
      <c r="A12" s="59"/>
      <c r="B12" s="60"/>
      <c r="C12" s="60"/>
      <c r="D12" s="60"/>
      <c r="E12" s="60"/>
      <c r="F12" s="60"/>
      <c r="G12" s="60"/>
      <c r="H12" s="60"/>
      <c r="I12" s="71"/>
      <c r="J12" s="71"/>
      <c r="K12" s="71"/>
      <c r="L12" s="71"/>
      <c r="M12" s="71"/>
      <c r="N12" s="67"/>
      <c r="O12" s="67"/>
      <c r="P12" s="67"/>
      <c r="Q12" s="67"/>
      <c r="R12" s="67"/>
      <c r="S12" s="67"/>
      <c r="T12" s="67"/>
      <c r="U12" s="67"/>
      <c r="V12" s="67"/>
      <c r="W12" s="67"/>
      <c r="X12" s="67"/>
      <c r="Y12" s="67"/>
      <c r="Z12" s="67"/>
      <c r="AA12" s="67"/>
      <c r="AB12" s="67"/>
      <c r="AC12" s="67"/>
      <c r="AD12" s="67"/>
      <c r="AE12" s="67"/>
      <c r="AF12" s="67"/>
      <c r="AG12" s="68"/>
      <c r="AH12" s="72"/>
      <c r="AI12" s="69"/>
      <c r="AJ12" s="69"/>
      <c r="AK12" s="73"/>
      <c r="AL12" s="73"/>
      <c r="AM12" s="73"/>
      <c r="AN12" s="73"/>
      <c r="AO12" s="73"/>
      <c r="AP12" s="73"/>
      <c r="AQ12" s="73"/>
      <c r="AR12" s="73"/>
      <c r="AS12" s="73"/>
      <c r="AT12" s="73"/>
      <c r="AU12" s="62"/>
    </row>
    <row r="13" spans="1:47" s="63" customFormat="1" ht="12.65" customHeight="1" x14ac:dyDescent="0.35">
      <c r="A13" s="59"/>
      <c r="B13" s="275" t="s">
        <v>33</v>
      </c>
      <c r="C13" s="275"/>
      <c r="D13" s="275"/>
      <c r="E13" s="275"/>
      <c r="F13" s="275"/>
      <c r="G13" s="275"/>
      <c r="H13" s="275"/>
      <c r="I13" s="283" t="s">
        <v>102</v>
      </c>
      <c r="J13" s="284"/>
      <c r="K13" s="284"/>
      <c r="L13" s="284"/>
      <c r="M13" s="284"/>
      <c r="N13" s="284"/>
      <c r="O13" s="284"/>
      <c r="P13" s="284"/>
      <c r="Q13" s="284"/>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5"/>
      <c r="AU13" s="62"/>
    </row>
    <row r="14" spans="1:47" s="63" customFormat="1" ht="25" customHeight="1" x14ac:dyDescent="0.35">
      <c r="A14" s="59"/>
      <c r="B14" s="60"/>
      <c r="C14" s="60"/>
      <c r="D14" s="60"/>
      <c r="E14" s="60"/>
      <c r="F14" s="60"/>
      <c r="G14" s="60"/>
      <c r="H14" s="60"/>
      <c r="I14" s="286"/>
      <c r="J14" s="287"/>
      <c r="K14" s="287"/>
      <c r="L14" s="287"/>
      <c r="M14" s="287"/>
      <c r="N14" s="287"/>
      <c r="O14" s="287"/>
      <c r="P14" s="287"/>
      <c r="Q14" s="287"/>
      <c r="R14" s="287"/>
      <c r="S14" s="287"/>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7"/>
      <c r="AQ14" s="287"/>
      <c r="AR14" s="287"/>
      <c r="AS14" s="287"/>
      <c r="AT14" s="288"/>
      <c r="AU14" s="62"/>
    </row>
    <row r="15" spans="1:47" s="63" customFormat="1" ht="32.5" customHeight="1" x14ac:dyDescent="0.35">
      <c r="A15" s="59"/>
      <c r="B15" s="60"/>
      <c r="C15" s="60"/>
      <c r="D15" s="60"/>
      <c r="E15" s="60"/>
      <c r="F15" s="60"/>
      <c r="G15" s="60"/>
      <c r="H15" s="60"/>
      <c r="I15" s="289"/>
      <c r="J15" s="290"/>
      <c r="K15" s="290"/>
      <c r="L15" s="290"/>
      <c r="M15" s="290"/>
      <c r="N15" s="290"/>
      <c r="O15" s="290"/>
      <c r="P15" s="290"/>
      <c r="Q15" s="290"/>
      <c r="R15" s="290"/>
      <c r="S15" s="290"/>
      <c r="T15" s="290"/>
      <c r="U15" s="290"/>
      <c r="V15" s="290"/>
      <c r="W15" s="290"/>
      <c r="X15" s="290"/>
      <c r="Y15" s="290"/>
      <c r="Z15" s="290"/>
      <c r="AA15" s="290"/>
      <c r="AB15" s="290"/>
      <c r="AC15" s="290"/>
      <c r="AD15" s="290"/>
      <c r="AE15" s="290"/>
      <c r="AF15" s="290"/>
      <c r="AG15" s="290"/>
      <c r="AH15" s="290"/>
      <c r="AI15" s="290"/>
      <c r="AJ15" s="290"/>
      <c r="AK15" s="290"/>
      <c r="AL15" s="290"/>
      <c r="AM15" s="290"/>
      <c r="AN15" s="290"/>
      <c r="AO15" s="290"/>
      <c r="AP15" s="290"/>
      <c r="AQ15" s="290"/>
      <c r="AR15" s="290"/>
      <c r="AS15" s="290"/>
      <c r="AT15" s="291"/>
      <c r="AU15" s="62"/>
    </row>
    <row r="16" spans="1:47" s="63" customFormat="1" ht="14.5" customHeight="1" thickBot="1" x14ac:dyDescent="0.4">
      <c r="A16" s="59"/>
      <c r="B16" s="60"/>
      <c r="C16" s="60"/>
      <c r="D16" s="60"/>
      <c r="E16" s="60"/>
      <c r="F16" s="60"/>
      <c r="G16" s="60"/>
      <c r="H16" s="60"/>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2"/>
    </row>
    <row r="17" spans="1:47" s="63" customFormat="1" ht="12.65" customHeight="1" thickBot="1" x14ac:dyDescent="0.35">
      <c r="A17" s="59"/>
      <c r="B17" s="223" t="s">
        <v>44</v>
      </c>
      <c r="C17" s="223"/>
      <c r="D17" s="223"/>
      <c r="E17" s="223"/>
      <c r="F17" s="223"/>
      <c r="G17" s="223"/>
      <c r="H17" s="223"/>
      <c r="I17" s="223"/>
      <c r="J17" s="223"/>
      <c r="K17" s="223"/>
      <c r="L17" s="223"/>
      <c r="M17" s="223" t="s">
        <v>45</v>
      </c>
      <c r="N17" s="223"/>
      <c r="O17" s="223"/>
      <c r="P17" s="223"/>
      <c r="Q17" s="223"/>
      <c r="R17" s="224"/>
      <c r="S17" s="237">
        <v>28</v>
      </c>
      <c r="T17" s="238"/>
      <c r="U17" s="220">
        <v>4</v>
      </c>
      <c r="V17" s="221"/>
      <c r="W17" s="220">
        <v>2025</v>
      </c>
      <c r="X17" s="222"/>
      <c r="Y17" s="61"/>
      <c r="Z17" s="223" t="s">
        <v>46</v>
      </c>
      <c r="AA17" s="223"/>
      <c r="AB17" s="223"/>
      <c r="AC17" s="223"/>
      <c r="AD17" s="224"/>
      <c r="AE17" s="237">
        <v>5</v>
      </c>
      <c r="AF17" s="238"/>
      <c r="AG17" s="220">
        <v>5</v>
      </c>
      <c r="AH17" s="221"/>
      <c r="AI17" s="220">
        <v>2028</v>
      </c>
      <c r="AJ17" s="222"/>
      <c r="AK17" s="61"/>
      <c r="AL17" s="61"/>
      <c r="AM17" s="61"/>
      <c r="AN17" s="61"/>
      <c r="AO17" s="61"/>
      <c r="AP17" s="61"/>
      <c r="AQ17" s="61"/>
      <c r="AR17" s="61"/>
      <c r="AS17" s="61"/>
      <c r="AT17" s="61"/>
      <c r="AU17" s="62"/>
    </row>
    <row r="18" spans="1:47" ht="12.65" customHeight="1" x14ac:dyDescent="0.35">
      <c r="A18" s="13"/>
      <c r="B18" s="48"/>
      <c r="C18" s="48"/>
      <c r="D18" s="48"/>
      <c r="E18" s="48"/>
      <c r="F18" s="48"/>
      <c r="G18" s="48"/>
      <c r="H18" s="48"/>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14"/>
    </row>
    <row r="19" spans="1:47" ht="12.65" customHeight="1" x14ac:dyDescent="0.35">
      <c r="A19" s="13"/>
      <c r="B19" s="48"/>
      <c r="C19" s="48"/>
      <c r="D19" s="48"/>
      <c r="E19" s="48"/>
      <c r="F19" s="48"/>
      <c r="G19" s="48"/>
      <c r="H19" s="48"/>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14"/>
    </row>
    <row r="20" spans="1:47" ht="12.65" customHeight="1" x14ac:dyDescent="0.35">
      <c r="A20" s="13"/>
      <c r="B20" s="199" t="s">
        <v>25</v>
      </c>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4"/>
    </row>
    <row r="21" spans="1:47" ht="12.65" customHeight="1" x14ac:dyDescent="0.35">
      <c r="A21" s="13"/>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1"/>
      <c r="AD21" s="19"/>
      <c r="AE21" s="19"/>
      <c r="AF21" s="19"/>
      <c r="AG21" s="19"/>
      <c r="AH21" s="19"/>
      <c r="AI21" s="49"/>
      <c r="AJ21" s="49"/>
      <c r="AK21" s="18"/>
      <c r="AL21" s="18"/>
      <c r="AM21" s="18"/>
      <c r="AN21" s="18"/>
      <c r="AO21" s="18"/>
      <c r="AP21" s="18"/>
      <c r="AQ21" s="18"/>
      <c r="AR21" s="18"/>
      <c r="AS21" s="18"/>
      <c r="AT21" s="18"/>
      <c r="AU21" s="14"/>
    </row>
    <row r="22" spans="1:47" ht="12.65" customHeight="1" thickBot="1" x14ac:dyDescent="0.4">
      <c r="A22" s="13"/>
      <c r="B22" s="106" t="s">
        <v>66</v>
      </c>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4"/>
    </row>
    <row r="23" spans="1:47" s="63" customFormat="1" ht="12.65" customHeight="1" thickBot="1" x14ac:dyDescent="0.4">
      <c r="A23" s="59"/>
      <c r="B23" s="241" t="s">
        <v>67</v>
      </c>
      <c r="C23" s="226"/>
      <c r="D23" s="226"/>
      <c r="E23" s="226"/>
      <c r="F23" s="226"/>
      <c r="G23" s="227"/>
      <c r="H23" s="225" t="s">
        <v>19</v>
      </c>
      <c r="I23" s="226"/>
      <c r="J23" s="226"/>
      <c r="K23" s="226"/>
      <c r="L23" s="226"/>
      <c r="M23" s="226"/>
      <c r="N23" s="226"/>
      <c r="O23" s="226"/>
      <c r="P23" s="226"/>
      <c r="Q23" s="226"/>
      <c r="R23" s="226"/>
      <c r="S23" s="226"/>
      <c r="T23" s="226"/>
      <c r="U23" s="226"/>
      <c r="V23" s="227"/>
      <c r="W23" s="225" t="s">
        <v>24</v>
      </c>
      <c r="X23" s="226"/>
      <c r="Y23" s="226"/>
      <c r="Z23" s="226"/>
      <c r="AA23" s="226"/>
      <c r="AB23" s="227"/>
      <c r="AC23" s="225" t="s">
        <v>47</v>
      </c>
      <c r="AD23" s="226"/>
      <c r="AE23" s="226"/>
      <c r="AF23" s="226"/>
      <c r="AG23" s="227"/>
      <c r="AH23" s="225" t="s">
        <v>27</v>
      </c>
      <c r="AI23" s="226"/>
      <c r="AJ23" s="226"/>
      <c r="AK23" s="226"/>
      <c r="AL23" s="226"/>
      <c r="AM23" s="245"/>
      <c r="AN23" s="241" t="s">
        <v>11</v>
      </c>
      <c r="AO23" s="226"/>
      <c r="AP23" s="226"/>
      <c r="AQ23" s="226"/>
      <c r="AR23" s="226"/>
      <c r="AS23" s="226"/>
      <c r="AT23" s="245"/>
      <c r="AU23" s="62"/>
    </row>
    <row r="24" spans="1:47" s="63" customFormat="1" ht="12.65" customHeight="1" thickBot="1" x14ac:dyDescent="0.4">
      <c r="A24" s="59"/>
      <c r="B24" s="242">
        <v>45957</v>
      </c>
      <c r="C24" s="243"/>
      <c r="D24" s="243"/>
      <c r="E24" s="243"/>
      <c r="F24" s="243"/>
      <c r="G24" s="244"/>
      <c r="H24" s="267" t="s">
        <v>104</v>
      </c>
      <c r="I24" s="243"/>
      <c r="J24" s="243"/>
      <c r="K24" s="243"/>
      <c r="L24" s="243"/>
      <c r="M24" s="243"/>
      <c r="N24" s="243"/>
      <c r="O24" s="243"/>
      <c r="P24" s="243"/>
      <c r="Q24" s="74"/>
      <c r="R24" s="74"/>
      <c r="S24" s="74"/>
      <c r="T24" s="74"/>
      <c r="U24" s="75" t="s">
        <v>42</v>
      </c>
      <c r="V24" s="76"/>
      <c r="W24" s="268">
        <v>45961</v>
      </c>
      <c r="X24" s="243"/>
      <c r="Y24" s="243"/>
      <c r="Z24" s="243"/>
      <c r="AA24" s="243"/>
      <c r="AB24" s="244"/>
      <c r="AC24" s="77" t="s">
        <v>28</v>
      </c>
      <c r="AD24" s="78" t="s">
        <v>100</v>
      </c>
      <c r="AE24" s="77"/>
      <c r="AF24" s="77" t="s">
        <v>21</v>
      </c>
      <c r="AG24" s="78"/>
      <c r="AH24" s="268">
        <v>46387</v>
      </c>
      <c r="AI24" s="243"/>
      <c r="AJ24" s="243"/>
      <c r="AK24" s="243"/>
      <c r="AL24" s="243"/>
      <c r="AM24" s="269"/>
      <c r="AN24" s="264">
        <v>386128219</v>
      </c>
      <c r="AO24" s="265"/>
      <c r="AP24" s="265"/>
      <c r="AQ24" s="265"/>
      <c r="AR24" s="265"/>
      <c r="AS24" s="265"/>
      <c r="AT24" s="266"/>
      <c r="AU24" s="62"/>
    </row>
    <row r="25" spans="1:47" ht="35" customHeight="1" x14ac:dyDescent="0.35">
      <c r="A25" s="13"/>
      <c r="B25" s="2"/>
      <c r="C25" s="2"/>
      <c r="D25" s="2"/>
      <c r="E25" s="2"/>
      <c r="F25" s="2"/>
      <c r="G25" s="2"/>
      <c r="H25" s="2"/>
      <c r="I25" s="22"/>
      <c r="J25" s="22"/>
      <c r="K25" s="22"/>
      <c r="L25" s="22"/>
      <c r="M25" s="22"/>
      <c r="N25" s="22"/>
      <c r="O25" s="22"/>
      <c r="P25" s="22"/>
      <c r="Q25" s="22"/>
      <c r="R25" s="22"/>
      <c r="S25" s="22"/>
      <c r="T25" s="22"/>
      <c r="U25" s="22"/>
      <c r="V25" s="22"/>
      <c r="W25" s="2"/>
      <c r="X25" s="2"/>
      <c r="Y25" s="2"/>
      <c r="Z25" s="2"/>
      <c r="AA25" s="2"/>
      <c r="AB25" s="2"/>
      <c r="AC25" s="2"/>
      <c r="AD25" s="2"/>
      <c r="AE25" s="2"/>
      <c r="AF25" s="2"/>
      <c r="AG25" s="2"/>
      <c r="AH25" s="2"/>
      <c r="AI25" s="2"/>
      <c r="AJ25" s="2"/>
      <c r="AK25" s="2"/>
      <c r="AL25" s="2"/>
      <c r="AM25" s="2"/>
      <c r="AN25" s="2"/>
      <c r="AO25" s="2"/>
      <c r="AP25" s="2"/>
      <c r="AQ25" s="2"/>
      <c r="AR25" s="2"/>
      <c r="AS25" s="2"/>
      <c r="AT25" s="2"/>
      <c r="AU25" s="14"/>
    </row>
    <row r="26" spans="1:47" s="63" customFormat="1" ht="12.65" customHeight="1" thickBot="1" x14ac:dyDescent="0.4">
      <c r="A26" s="59"/>
      <c r="B26" s="195" t="s">
        <v>26</v>
      </c>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c r="AA26" s="195"/>
      <c r="AB26" s="195"/>
      <c r="AC26" s="195"/>
      <c r="AD26" s="195"/>
      <c r="AE26" s="195"/>
      <c r="AF26" s="195"/>
      <c r="AG26" s="195"/>
      <c r="AH26" s="195"/>
      <c r="AI26" s="195"/>
      <c r="AJ26" s="195"/>
      <c r="AK26" s="195"/>
      <c r="AL26" s="195"/>
      <c r="AM26" s="195"/>
      <c r="AN26" s="195"/>
      <c r="AO26" s="195"/>
      <c r="AP26" s="195"/>
      <c r="AQ26" s="195"/>
      <c r="AR26" s="195"/>
      <c r="AS26" s="195"/>
      <c r="AT26" s="195"/>
      <c r="AU26" s="62"/>
    </row>
    <row r="27" spans="1:47" s="63" customFormat="1" ht="12.65" customHeight="1" thickBot="1" x14ac:dyDescent="0.4">
      <c r="A27" s="59"/>
      <c r="B27" s="79" t="s">
        <v>21</v>
      </c>
      <c r="C27" s="272" t="s">
        <v>67</v>
      </c>
      <c r="D27" s="272"/>
      <c r="E27" s="272"/>
      <c r="F27" s="272"/>
      <c r="G27" s="272"/>
      <c r="H27" s="273"/>
      <c r="I27" s="271" t="s">
        <v>15</v>
      </c>
      <c r="J27" s="272"/>
      <c r="K27" s="272"/>
      <c r="L27" s="272"/>
      <c r="M27" s="272"/>
      <c r="N27" s="272"/>
      <c r="O27" s="272"/>
      <c r="P27" s="272"/>
      <c r="Q27" s="272"/>
      <c r="R27" s="272"/>
      <c r="S27" s="272"/>
      <c r="T27" s="272"/>
      <c r="U27" s="272"/>
      <c r="V27" s="273"/>
      <c r="W27" s="271" t="s">
        <v>69</v>
      </c>
      <c r="X27" s="272"/>
      <c r="Y27" s="272"/>
      <c r="Z27" s="272"/>
      <c r="AA27" s="273"/>
      <c r="AB27" s="271" t="s">
        <v>24</v>
      </c>
      <c r="AC27" s="272"/>
      <c r="AD27" s="272"/>
      <c r="AE27" s="272"/>
      <c r="AF27" s="272"/>
      <c r="AG27" s="273"/>
      <c r="AH27" s="271" t="s">
        <v>20</v>
      </c>
      <c r="AI27" s="272"/>
      <c r="AJ27" s="272"/>
      <c r="AK27" s="272"/>
      <c r="AL27" s="272"/>
      <c r="AM27" s="273"/>
      <c r="AN27" s="271" t="s">
        <v>68</v>
      </c>
      <c r="AO27" s="272"/>
      <c r="AP27" s="272"/>
      <c r="AQ27" s="272"/>
      <c r="AR27" s="272"/>
      <c r="AS27" s="272"/>
      <c r="AT27" s="274"/>
      <c r="AU27" s="62"/>
    </row>
    <row r="28" spans="1:47" s="63" customFormat="1" ht="12.65" customHeight="1" x14ac:dyDescent="0.35">
      <c r="A28" s="59"/>
      <c r="B28" s="80">
        <v>1</v>
      </c>
      <c r="C28" s="261">
        <v>46124</v>
      </c>
      <c r="D28" s="231"/>
      <c r="E28" s="231"/>
      <c r="F28" s="231"/>
      <c r="G28" s="231"/>
      <c r="H28" s="231"/>
      <c r="I28" s="262" t="s">
        <v>16</v>
      </c>
      <c r="J28" s="262"/>
      <c r="K28" s="263"/>
      <c r="L28" s="81" t="s">
        <v>100</v>
      </c>
      <c r="M28" s="255" t="s">
        <v>17</v>
      </c>
      <c r="N28" s="256"/>
      <c r="O28" s="256"/>
      <c r="P28" s="256"/>
      <c r="Q28" s="81"/>
      <c r="R28" s="259" t="s">
        <v>18</v>
      </c>
      <c r="S28" s="260"/>
      <c r="T28" s="260"/>
      <c r="U28" s="255"/>
      <c r="V28" s="82"/>
      <c r="W28" s="228"/>
      <c r="X28" s="228"/>
      <c r="Y28" s="228"/>
      <c r="Z28" s="228"/>
      <c r="AA28" s="229"/>
      <c r="AB28" s="230">
        <v>46489</v>
      </c>
      <c r="AC28" s="231"/>
      <c r="AD28" s="231"/>
      <c r="AE28" s="231"/>
      <c r="AF28" s="231"/>
      <c r="AG28" s="232"/>
      <c r="AH28" s="230">
        <v>47220</v>
      </c>
      <c r="AI28" s="231"/>
      <c r="AJ28" s="231"/>
      <c r="AK28" s="231"/>
      <c r="AL28" s="231"/>
      <c r="AM28" s="232"/>
      <c r="AN28" s="246">
        <v>998484884</v>
      </c>
      <c r="AO28" s="246"/>
      <c r="AP28" s="246"/>
      <c r="AQ28" s="246"/>
      <c r="AR28" s="246"/>
      <c r="AS28" s="246"/>
      <c r="AT28" s="247"/>
      <c r="AU28" s="62"/>
    </row>
    <row r="29" spans="1:47" s="63" customFormat="1" ht="12.65" customHeight="1" x14ac:dyDescent="0.35">
      <c r="A29" s="59"/>
      <c r="B29" s="83">
        <v>2</v>
      </c>
      <c r="C29" s="214">
        <v>46065</v>
      </c>
      <c r="D29" s="215"/>
      <c r="E29" s="215"/>
      <c r="F29" s="215"/>
      <c r="G29" s="215"/>
      <c r="H29" s="215"/>
      <c r="I29" s="251" t="s">
        <v>16</v>
      </c>
      <c r="J29" s="251"/>
      <c r="K29" s="252"/>
      <c r="L29" s="84"/>
      <c r="M29" s="250" t="s">
        <v>17</v>
      </c>
      <c r="N29" s="270"/>
      <c r="O29" s="270"/>
      <c r="P29" s="270"/>
      <c r="Q29" s="84"/>
      <c r="R29" s="248" t="s">
        <v>18</v>
      </c>
      <c r="S29" s="249"/>
      <c r="T29" s="249"/>
      <c r="U29" s="250"/>
      <c r="V29" s="85" t="s">
        <v>100</v>
      </c>
      <c r="W29" s="218"/>
      <c r="X29" s="218"/>
      <c r="Y29" s="218"/>
      <c r="Z29" s="218"/>
      <c r="AA29" s="219"/>
      <c r="AB29" s="233">
        <v>45658</v>
      </c>
      <c r="AC29" s="215"/>
      <c r="AD29" s="215"/>
      <c r="AE29" s="215"/>
      <c r="AF29" s="215"/>
      <c r="AG29" s="234"/>
      <c r="AH29" s="233">
        <v>46246</v>
      </c>
      <c r="AI29" s="215"/>
      <c r="AJ29" s="215"/>
      <c r="AK29" s="215"/>
      <c r="AL29" s="215"/>
      <c r="AM29" s="234"/>
      <c r="AN29" s="253">
        <v>2009999</v>
      </c>
      <c r="AO29" s="253"/>
      <c r="AP29" s="253"/>
      <c r="AQ29" s="253"/>
      <c r="AR29" s="253"/>
      <c r="AS29" s="253"/>
      <c r="AT29" s="254"/>
      <c r="AU29" s="62"/>
    </row>
    <row r="30" spans="1:47" s="63" customFormat="1" ht="12.65" customHeight="1" x14ac:dyDescent="0.35">
      <c r="A30" s="59"/>
      <c r="B30" s="83">
        <v>3</v>
      </c>
      <c r="C30" s="214"/>
      <c r="D30" s="215"/>
      <c r="E30" s="215"/>
      <c r="F30" s="215"/>
      <c r="G30" s="215"/>
      <c r="H30" s="215"/>
      <c r="I30" s="251" t="s">
        <v>16</v>
      </c>
      <c r="J30" s="251"/>
      <c r="K30" s="252"/>
      <c r="L30" s="84"/>
      <c r="M30" s="250" t="s">
        <v>17</v>
      </c>
      <c r="N30" s="270"/>
      <c r="O30" s="270"/>
      <c r="P30" s="270"/>
      <c r="Q30" s="84"/>
      <c r="R30" s="248" t="s">
        <v>18</v>
      </c>
      <c r="S30" s="249"/>
      <c r="T30" s="249"/>
      <c r="U30" s="250"/>
      <c r="V30" s="85"/>
      <c r="W30" s="257"/>
      <c r="X30" s="257"/>
      <c r="Y30" s="257"/>
      <c r="Z30" s="257"/>
      <c r="AA30" s="258"/>
      <c r="AB30" s="233"/>
      <c r="AC30" s="215"/>
      <c r="AD30" s="215"/>
      <c r="AE30" s="215"/>
      <c r="AF30" s="215"/>
      <c r="AG30" s="234"/>
      <c r="AH30" s="233"/>
      <c r="AI30" s="215"/>
      <c r="AJ30" s="215"/>
      <c r="AK30" s="215"/>
      <c r="AL30" s="215"/>
      <c r="AM30" s="234"/>
      <c r="AN30" s="253"/>
      <c r="AO30" s="253"/>
      <c r="AP30" s="253"/>
      <c r="AQ30" s="253"/>
      <c r="AR30" s="253"/>
      <c r="AS30" s="253"/>
      <c r="AT30" s="254"/>
      <c r="AU30" s="62"/>
    </row>
    <row r="31" spans="1:47" s="63" customFormat="1" ht="12.65" customHeight="1" x14ac:dyDescent="0.35">
      <c r="A31" s="59"/>
      <c r="B31" s="83">
        <v>4</v>
      </c>
      <c r="C31" s="214"/>
      <c r="D31" s="215"/>
      <c r="E31" s="215"/>
      <c r="F31" s="215"/>
      <c r="G31" s="215"/>
      <c r="H31" s="215"/>
      <c r="I31" s="251" t="s">
        <v>16</v>
      </c>
      <c r="J31" s="251"/>
      <c r="K31" s="252"/>
      <c r="L31" s="84"/>
      <c r="M31" s="250" t="s">
        <v>17</v>
      </c>
      <c r="N31" s="270"/>
      <c r="O31" s="270"/>
      <c r="P31" s="270"/>
      <c r="Q31" s="84"/>
      <c r="R31" s="248" t="s">
        <v>18</v>
      </c>
      <c r="S31" s="249"/>
      <c r="T31" s="249"/>
      <c r="U31" s="250"/>
      <c r="V31" s="85"/>
      <c r="W31" s="218"/>
      <c r="X31" s="218"/>
      <c r="Y31" s="218"/>
      <c r="Z31" s="218"/>
      <c r="AA31" s="219"/>
      <c r="AB31" s="233"/>
      <c r="AC31" s="215"/>
      <c r="AD31" s="215"/>
      <c r="AE31" s="215"/>
      <c r="AF31" s="215"/>
      <c r="AG31" s="234"/>
      <c r="AH31" s="233"/>
      <c r="AI31" s="215"/>
      <c r="AJ31" s="215"/>
      <c r="AK31" s="215"/>
      <c r="AL31" s="215"/>
      <c r="AM31" s="234"/>
      <c r="AN31" s="253"/>
      <c r="AO31" s="253"/>
      <c r="AP31" s="253"/>
      <c r="AQ31" s="253"/>
      <c r="AR31" s="253"/>
      <c r="AS31" s="253"/>
      <c r="AT31" s="254"/>
      <c r="AU31" s="62"/>
    </row>
    <row r="32" spans="1:47" s="63" customFormat="1" ht="12.65" customHeight="1" thickBot="1" x14ac:dyDescent="0.4">
      <c r="A32" s="59"/>
      <c r="B32" s="86">
        <v>5</v>
      </c>
      <c r="C32" s="140"/>
      <c r="D32" s="141"/>
      <c r="E32" s="141"/>
      <c r="F32" s="141"/>
      <c r="G32" s="141"/>
      <c r="H32" s="141"/>
      <c r="I32" s="306" t="s">
        <v>16</v>
      </c>
      <c r="J32" s="306"/>
      <c r="K32" s="307"/>
      <c r="L32" s="87"/>
      <c r="M32" s="308" t="s">
        <v>17</v>
      </c>
      <c r="N32" s="309"/>
      <c r="O32" s="309"/>
      <c r="P32" s="309"/>
      <c r="Q32" s="87"/>
      <c r="R32" s="310" t="s">
        <v>18</v>
      </c>
      <c r="S32" s="311"/>
      <c r="T32" s="311"/>
      <c r="U32" s="308"/>
      <c r="V32" s="88"/>
      <c r="W32" s="144"/>
      <c r="X32" s="144"/>
      <c r="Y32" s="144"/>
      <c r="Z32" s="144"/>
      <c r="AA32" s="145"/>
      <c r="AB32" s="239"/>
      <c r="AC32" s="141"/>
      <c r="AD32" s="141"/>
      <c r="AE32" s="141"/>
      <c r="AF32" s="141"/>
      <c r="AG32" s="240"/>
      <c r="AH32" s="312"/>
      <c r="AI32" s="313"/>
      <c r="AJ32" s="313"/>
      <c r="AK32" s="313"/>
      <c r="AL32" s="313"/>
      <c r="AM32" s="314"/>
      <c r="AN32" s="235"/>
      <c r="AO32" s="235"/>
      <c r="AP32" s="235"/>
      <c r="AQ32" s="235"/>
      <c r="AR32" s="235"/>
      <c r="AS32" s="235"/>
      <c r="AT32" s="236"/>
      <c r="AU32" s="62"/>
    </row>
    <row r="33" spans="1:47" ht="12.65" customHeight="1" x14ac:dyDescent="0.35">
      <c r="A33" s="13"/>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1"/>
      <c r="AD33" s="19"/>
      <c r="AE33" s="19"/>
      <c r="AF33" s="19"/>
      <c r="AG33" s="19"/>
      <c r="AH33" s="19"/>
      <c r="AI33" s="49"/>
      <c r="AJ33" s="49"/>
      <c r="AK33" s="18"/>
      <c r="AL33" s="18"/>
      <c r="AM33" s="18"/>
      <c r="AN33" s="18"/>
      <c r="AO33" s="18"/>
      <c r="AP33" s="18"/>
      <c r="AQ33" s="18"/>
      <c r="AR33" s="18"/>
      <c r="AS33" s="18"/>
      <c r="AT33" s="18"/>
      <c r="AU33" s="14"/>
    </row>
    <row r="34" spans="1:47" ht="12.65" customHeight="1" x14ac:dyDescent="0.35">
      <c r="A34" s="13"/>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1"/>
      <c r="AD34" s="19"/>
      <c r="AE34" s="19"/>
      <c r="AF34" s="19"/>
      <c r="AG34" s="19"/>
      <c r="AH34" s="19"/>
      <c r="AI34" s="49"/>
      <c r="AJ34" s="49"/>
      <c r="AK34" s="18"/>
      <c r="AL34" s="18"/>
      <c r="AM34" s="18"/>
      <c r="AN34" s="18"/>
      <c r="AO34" s="18"/>
      <c r="AP34" s="18"/>
      <c r="AQ34" s="18"/>
      <c r="AR34" s="18"/>
      <c r="AS34" s="18"/>
      <c r="AT34" s="18"/>
      <c r="AU34" s="14"/>
    </row>
    <row r="35" spans="1:47" ht="12.65" customHeight="1" x14ac:dyDescent="0.35">
      <c r="A35" s="13"/>
      <c r="B35" s="199" t="s">
        <v>22</v>
      </c>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4"/>
    </row>
    <row r="36" spans="1:47" ht="12.65" customHeight="1" x14ac:dyDescent="0.35">
      <c r="A36" s="13"/>
      <c r="B36" s="48"/>
      <c r="C36" s="48"/>
      <c r="D36" s="48"/>
      <c r="E36" s="48"/>
      <c r="F36" s="48"/>
      <c r="G36" s="48"/>
      <c r="H36" s="48"/>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14"/>
    </row>
    <row r="37" spans="1:47" ht="12.65" customHeight="1" x14ac:dyDescent="0.35">
      <c r="A37" s="13"/>
      <c r="B37" s="1" t="s">
        <v>70</v>
      </c>
      <c r="C37" s="1"/>
      <c r="D37" s="1"/>
      <c r="E37" s="1"/>
      <c r="F37" s="1"/>
      <c r="G37" s="1"/>
      <c r="H37" s="1"/>
      <c r="I37" s="1"/>
      <c r="J37" s="303">
        <f>+AN24</f>
        <v>386128219</v>
      </c>
      <c r="K37" s="303"/>
      <c r="L37" s="303"/>
      <c r="M37" s="303"/>
      <c r="N37" s="303"/>
      <c r="O37" s="303"/>
      <c r="P37" s="303"/>
      <c r="Q37" s="303"/>
      <c r="R37" s="303"/>
      <c r="S37" s="303"/>
      <c r="T37" s="303"/>
      <c r="U37" s="303"/>
      <c r="V37" s="303"/>
      <c r="W37" s="303"/>
      <c r="X37" s="303"/>
      <c r="Y37" s="303"/>
      <c r="Z37" s="303"/>
      <c r="AA37" s="303"/>
      <c r="AB37" s="303"/>
      <c r="AC37" s="303"/>
      <c r="AD37" s="303"/>
      <c r="AE37" s="303"/>
      <c r="AF37" s="303"/>
      <c r="AG37" s="303"/>
      <c r="AH37" s="303"/>
      <c r="AI37" s="303"/>
      <c r="AJ37" s="303"/>
      <c r="AK37" s="303"/>
      <c r="AL37" s="303"/>
      <c r="AM37" s="2"/>
      <c r="AN37" s="2"/>
      <c r="AO37" s="2"/>
      <c r="AP37" s="2"/>
      <c r="AQ37" s="2"/>
      <c r="AR37" s="2"/>
      <c r="AS37" s="20" t="s">
        <v>6</v>
      </c>
      <c r="AT37" s="21"/>
      <c r="AU37" s="14"/>
    </row>
    <row r="38" spans="1:47" ht="12.65" customHeight="1" x14ac:dyDescent="0.35">
      <c r="A38" s="13"/>
      <c r="B38" s="1"/>
      <c r="C38" s="1"/>
      <c r="D38" s="1"/>
      <c r="E38" s="1"/>
      <c r="F38" s="1"/>
      <c r="G38" s="1"/>
      <c r="H38" s="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14"/>
    </row>
    <row r="39" spans="1:47" ht="12.65" customHeight="1" thickBot="1" x14ac:dyDescent="0.4">
      <c r="A39" s="13"/>
      <c r="B39" s="106" t="s">
        <v>12</v>
      </c>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4"/>
    </row>
    <row r="40" spans="1:47" ht="12.65" customHeight="1" thickBot="1" x14ac:dyDescent="0.4">
      <c r="A40" s="13"/>
      <c r="B40" s="53" t="s">
        <v>21</v>
      </c>
      <c r="C40" s="304" t="s">
        <v>8</v>
      </c>
      <c r="D40" s="304"/>
      <c r="E40" s="304"/>
      <c r="F40" s="304"/>
      <c r="G40" s="304"/>
      <c r="H40" s="305"/>
      <c r="I40" s="301" t="s">
        <v>7</v>
      </c>
      <c r="J40" s="301"/>
      <c r="K40" s="301"/>
      <c r="L40" s="301"/>
      <c r="M40" s="301"/>
      <c r="N40" s="301"/>
      <c r="O40" s="301"/>
      <c r="P40" s="301"/>
      <c r="Q40" s="315" t="s">
        <v>9</v>
      </c>
      <c r="R40" s="304"/>
      <c r="S40" s="304"/>
      <c r="T40" s="304"/>
      <c r="U40" s="304"/>
      <c r="V40" s="304"/>
      <c r="W40" s="305"/>
      <c r="X40" s="301" t="s">
        <v>10</v>
      </c>
      <c r="Y40" s="301"/>
      <c r="Z40" s="301"/>
      <c r="AA40" s="301"/>
      <c r="AB40" s="301"/>
      <c r="AC40" s="301"/>
      <c r="AD40" s="301"/>
      <c r="AE40" s="301"/>
      <c r="AF40" s="301"/>
      <c r="AG40" s="301"/>
      <c r="AH40" s="301"/>
      <c r="AI40" s="301"/>
      <c r="AJ40" s="301"/>
      <c r="AK40" s="301"/>
      <c r="AL40" s="301"/>
      <c r="AM40" s="301"/>
      <c r="AN40" s="301" t="s">
        <v>11</v>
      </c>
      <c r="AO40" s="301"/>
      <c r="AP40" s="301"/>
      <c r="AQ40" s="301"/>
      <c r="AR40" s="301"/>
      <c r="AS40" s="301"/>
      <c r="AT40" s="302"/>
      <c r="AU40" s="14"/>
    </row>
    <row r="41" spans="1:47" ht="12.65" customHeight="1" x14ac:dyDescent="0.35">
      <c r="A41" s="13"/>
      <c r="B41" s="58">
        <v>1</v>
      </c>
      <c r="C41" s="402">
        <v>45924</v>
      </c>
      <c r="D41" s="403"/>
      <c r="E41" s="403"/>
      <c r="F41" s="403"/>
      <c r="G41" s="403"/>
      <c r="H41" s="404"/>
      <c r="I41" s="397">
        <v>11103</v>
      </c>
      <c r="J41" s="398"/>
      <c r="K41" s="398"/>
      <c r="L41" s="398"/>
      <c r="M41" s="398"/>
      <c r="N41" s="398"/>
      <c r="O41" s="398"/>
      <c r="P41" s="399"/>
      <c r="Q41" s="318" t="s">
        <v>105</v>
      </c>
      <c r="R41" s="318"/>
      <c r="S41" s="318"/>
      <c r="T41" s="318"/>
      <c r="U41" s="318"/>
      <c r="V41" s="318"/>
      <c r="W41" s="318"/>
      <c r="X41" s="318" t="s">
        <v>106</v>
      </c>
      <c r="Y41" s="318"/>
      <c r="Z41" s="318"/>
      <c r="AA41" s="318"/>
      <c r="AB41" s="318"/>
      <c r="AC41" s="318"/>
      <c r="AD41" s="318"/>
      <c r="AE41" s="318"/>
      <c r="AF41" s="318"/>
      <c r="AG41" s="318"/>
      <c r="AH41" s="318"/>
      <c r="AI41" s="318"/>
      <c r="AJ41" s="318"/>
      <c r="AK41" s="318"/>
      <c r="AL41" s="318"/>
      <c r="AM41" s="318"/>
      <c r="AN41" s="316">
        <v>86531419</v>
      </c>
      <c r="AO41" s="316"/>
      <c r="AP41" s="316"/>
      <c r="AQ41" s="316"/>
      <c r="AR41" s="316"/>
      <c r="AS41" s="316"/>
      <c r="AT41" s="317"/>
      <c r="AU41" s="14"/>
    </row>
    <row r="42" spans="1:47" ht="12.65" customHeight="1" x14ac:dyDescent="0.35">
      <c r="A42" s="13"/>
      <c r="B42" s="27">
        <v>2</v>
      </c>
      <c r="C42" s="405"/>
      <c r="D42" s="406"/>
      <c r="E42" s="406"/>
      <c r="F42" s="406"/>
      <c r="G42" s="406"/>
      <c r="H42" s="407"/>
      <c r="I42" s="400"/>
      <c r="J42" s="112"/>
      <c r="K42" s="112"/>
      <c r="L42" s="112"/>
      <c r="M42" s="112"/>
      <c r="N42" s="112"/>
      <c r="O42" s="112"/>
      <c r="P42" s="401"/>
      <c r="Q42" s="108" t="s">
        <v>107</v>
      </c>
      <c r="R42" s="108"/>
      <c r="S42" s="108"/>
      <c r="T42" s="108"/>
      <c r="U42" s="108"/>
      <c r="V42" s="108"/>
      <c r="W42" s="108"/>
      <c r="X42" s="108" t="s">
        <v>108</v>
      </c>
      <c r="Y42" s="108"/>
      <c r="Z42" s="108"/>
      <c r="AA42" s="108"/>
      <c r="AB42" s="108"/>
      <c r="AC42" s="108"/>
      <c r="AD42" s="108"/>
      <c r="AE42" s="108"/>
      <c r="AF42" s="108"/>
      <c r="AG42" s="108"/>
      <c r="AH42" s="108"/>
      <c r="AI42" s="108"/>
      <c r="AJ42" s="108"/>
      <c r="AK42" s="108"/>
      <c r="AL42" s="108"/>
      <c r="AM42" s="108"/>
      <c r="AN42" s="193">
        <v>29596800</v>
      </c>
      <c r="AO42" s="193"/>
      <c r="AP42" s="193"/>
      <c r="AQ42" s="193"/>
      <c r="AR42" s="193"/>
      <c r="AS42" s="193"/>
      <c r="AT42" s="194"/>
      <c r="AU42" s="14"/>
    </row>
    <row r="43" spans="1:47" ht="12.65" customHeight="1" x14ac:dyDescent="0.35">
      <c r="A43" s="13"/>
      <c r="B43" s="27">
        <v>3</v>
      </c>
      <c r="C43" s="207">
        <v>46024</v>
      </c>
      <c r="D43" s="208"/>
      <c r="E43" s="208"/>
      <c r="F43" s="208"/>
      <c r="G43" s="208"/>
      <c r="H43" s="208"/>
      <c r="I43" s="108">
        <v>11263</v>
      </c>
      <c r="J43" s="108"/>
      <c r="K43" s="108"/>
      <c r="L43" s="108"/>
      <c r="M43" s="108"/>
      <c r="N43" s="108"/>
      <c r="O43" s="108"/>
      <c r="P43" s="108"/>
      <c r="Q43" s="108" t="s">
        <v>105</v>
      </c>
      <c r="R43" s="108"/>
      <c r="S43" s="108"/>
      <c r="T43" s="108"/>
      <c r="U43" s="108"/>
      <c r="V43" s="108"/>
      <c r="W43" s="108"/>
      <c r="X43" s="108" t="s">
        <v>106</v>
      </c>
      <c r="Y43" s="108"/>
      <c r="Z43" s="108"/>
      <c r="AA43" s="108"/>
      <c r="AB43" s="108"/>
      <c r="AC43" s="108"/>
      <c r="AD43" s="108"/>
      <c r="AE43" s="108"/>
      <c r="AF43" s="108"/>
      <c r="AG43" s="108"/>
      <c r="AH43" s="108"/>
      <c r="AI43" s="108"/>
      <c r="AJ43" s="108"/>
      <c r="AK43" s="108"/>
      <c r="AL43" s="108"/>
      <c r="AM43" s="108"/>
      <c r="AN43" s="193">
        <v>324000000</v>
      </c>
      <c r="AO43" s="193"/>
      <c r="AP43" s="193"/>
      <c r="AQ43" s="193"/>
      <c r="AR43" s="193"/>
      <c r="AS43" s="193"/>
      <c r="AT43" s="194"/>
      <c r="AU43" s="14"/>
    </row>
    <row r="44" spans="1:47" ht="12.65" customHeight="1" x14ac:dyDescent="0.35">
      <c r="A44" s="13"/>
      <c r="B44" s="27">
        <v>4</v>
      </c>
      <c r="C44" s="325"/>
      <c r="D44" s="326"/>
      <c r="E44" s="326"/>
      <c r="F44" s="326"/>
      <c r="G44" s="326"/>
      <c r="H44" s="326"/>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196"/>
      <c r="AO44" s="197"/>
      <c r="AP44" s="197"/>
      <c r="AQ44" s="197"/>
      <c r="AR44" s="197"/>
      <c r="AS44" s="197"/>
      <c r="AT44" s="198"/>
      <c r="AU44" s="14"/>
    </row>
    <row r="45" spans="1:47" ht="12.65" customHeight="1" thickBot="1" x14ac:dyDescent="0.4">
      <c r="A45" s="13"/>
      <c r="B45" s="28">
        <v>5</v>
      </c>
      <c r="C45" s="203"/>
      <c r="D45" s="204"/>
      <c r="E45" s="204"/>
      <c r="F45" s="204"/>
      <c r="G45" s="204"/>
      <c r="H45" s="204"/>
      <c r="I45" s="205"/>
      <c r="J45" s="205"/>
      <c r="K45" s="205"/>
      <c r="L45" s="205"/>
      <c r="M45" s="205"/>
      <c r="N45" s="205"/>
      <c r="O45" s="205"/>
      <c r="P45" s="205"/>
      <c r="Q45" s="205"/>
      <c r="R45" s="205"/>
      <c r="S45" s="205"/>
      <c r="T45" s="205"/>
      <c r="U45" s="205"/>
      <c r="V45" s="205"/>
      <c r="W45" s="205"/>
      <c r="X45" s="205"/>
      <c r="Y45" s="205"/>
      <c r="Z45" s="205"/>
      <c r="AA45" s="205"/>
      <c r="AB45" s="205"/>
      <c r="AC45" s="205"/>
      <c r="AD45" s="205"/>
      <c r="AE45" s="205"/>
      <c r="AF45" s="205"/>
      <c r="AG45" s="205"/>
      <c r="AH45" s="205"/>
      <c r="AI45" s="205"/>
      <c r="AJ45" s="205"/>
      <c r="AK45" s="205"/>
      <c r="AL45" s="205"/>
      <c r="AM45" s="205"/>
      <c r="AN45" s="200"/>
      <c r="AO45" s="200"/>
      <c r="AP45" s="200"/>
      <c r="AQ45" s="200"/>
      <c r="AR45" s="200"/>
      <c r="AS45" s="200"/>
      <c r="AT45" s="201"/>
      <c r="AU45" s="14"/>
    </row>
    <row r="46" spans="1:47" ht="12.65" customHeight="1" thickBot="1" x14ac:dyDescent="0.4">
      <c r="A46" s="13"/>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4" t="s">
        <v>14</v>
      </c>
      <c r="AN46" s="319">
        <f>SUM(AN41:AT45)</f>
        <v>440128219</v>
      </c>
      <c r="AO46" s="320"/>
      <c r="AP46" s="320"/>
      <c r="AQ46" s="320"/>
      <c r="AR46" s="320"/>
      <c r="AS46" s="320"/>
      <c r="AT46" s="321"/>
      <c r="AU46" s="14"/>
    </row>
    <row r="47" spans="1:47" ht="12.65" customHeight="1" x14ac:dyDescent="0.35">
      <c r="A47" s="13"/>
      <c r="B47" s="48"/>
      <c r="C47" s="48"/>
      <c r="D47" s="48"/>
      <c r="E47" s="48"/>
      <c r="F47" s="48"/>
      <c r="G47" s="48"/>
      <c r="H47" s="48"/>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14"/>
    </row>
    <row r="48" spans="1:47" s="63" customFormat="1" ht="12.65" customHeight="1" thickBot="1" x14ac:dyDescent="0.4">
      <c r="A48" s="59"/>
      <c r="B48" s="195" t="s">
        <v>84</v>
      </c>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c r="AA48" s="195"/>
      <c r="AB48" s="195"/>
      <c r="AC48" s="195"/>
      <c r="AD48" s="195"/>
      <c r="AE48" s="195"/>
      <c r="AF48" s="195"/>
      <c r="AG48" s="195"/>
      <c r="AH48" s="195"/>
      <c r="AI48" s="195"/>
      <c r="AJ48" s="195"/>
      <c r="AK48" s="195"/>
      <c r="AL48" s="195"/>
      <c r="AM48" s="195"/>
      <c r="AN48" s="195"/>
      <c r="AO48" s="195"/>
      <c r="AP48" s="195"/>
      <c r="AQ48" s="195"/>
      <c r="AR48" s="195"/>
      <c r="AS48" s="195"/>
      <c r="AT48" s="195"/>
      <c r="AU48" s="62"/>
    </row>
    <row r="49" spans="1:47" s="63" customFormat="1" ht="12.65" customHeight="1" thickBot="1" x14ac:dyDescent="0.4">
      <c r="A49" s="59"/>
      <c r="B49" s="89" t="s">
        <v>21</v>
      </c>
      <c r="C49" s="272" t="s">
        <v>8</v>
      </c>
      <c r="D49" s="272"/>
      <c r="E49" s="272"/>
      <c r="F49" s="272"/>
      <c r="G49" s="272"/>
      <c r="H49" s="273"/>
      <c r="I49" s="206" t="s">
        <v>7</v>
      </c>
      <c r="J49" s="206"/>
      <c r="K49" s="206"/>
      <c r="L49" s="206"/>
      <c r="M49" s="206"/>
      <c r="N49" s="206"/>
      <c r="O49" s="206"/>
      <c r="P49" s="206"/>
      <c r="Q49" s="225" t="s">
        <v>9</v>
      </c>
      <c r="R49" s="226"/>
      <c r="S49" s="226"/>
      <c r="T49" s="226"/>
      <c r="U49" s="226"/>
      <c r="V49" s="226"/>
      <c r="W49" s="227"/>
      <c r="X49" s="206" t="s">
        <v>10</v>
      </c>
      <c r="Y49" s="206"/>
      <c r="Z49" s="206"/>
      <c r="AA49" s="206"/>
      <c r="AB49" s="206"/>
      <c r="AC49" s="206"/>
      <c r="AD49" s="206"/>
      <c r="AE49" s="206"/>
      <c r="AF49" s="206"/>
      <c r="AG49" s="206"/>
      <c r="AH49" s="206"/>
      <c r="AI49" s="206"/>
      <c r="AJ49" s="206"/>
      <c r="AK49" s="206"/>
      <c r="AL49" s="206"/>
      <c r="AM49" s="206"/>
      <c r="AN49" s="206" t="s">
        <v>11</v>
      </c>
      <c r="AO49" s="206"/>
      <c r="AP49" s="206"/>
      <c r="AQ49" s="206"/>
      <c r="AR49" s="206"/>
      <c r="AS49" s="206"/>
      <c r="AT49" s="322"/>
      <c r="AU49" s="62"/>
    </row>
    <row r="50" spans="1:47" s="63" customFormat="1" ht="12.65" customHeight="1" x14ac:dyDescent="0.35">
      <c r="A50" s="59"/>
      <c r="B50" s="80">
        <v>1</v>
      </c>
      <c r="C50" s="179">
        <v>45958</v>
      </c>
      <c r="D50" s="180"/>
      <c r="E50" s="180"/>
      <c r="F50" s="180"/>
      <c r="G50" s="180"/>
      <c r="H50" s="180"/>
      <c r="I50" s="175">
        <v>27254</v>
      </c>
      <c r="J50" s="175"/>
      <c r="K50" s="175"/>
      <c r="L50" s="175"/>
      <c r="M50" s="175"/>
      <c r="N50" s="175"/>
      <c r="O50" s="175"/>
      <c r="P50" s="175"/>
      <c r="Q50" s="181" t="s">
        <v>105</v>
      </c>
      <c r="R50" s="182"/>
      <c r="S50" s="182"/>
      <c r="T50" s="182"/>
      <c r="U50" s="182"/>
      <c r="V50" s="182"/>
      <c r="W50" s="183"/>
      <c r="X50" s="175" t="s">
        <v>106</v>
      </c>
      <c r="Y50" s="175"/>
      <c r="Z50" s="175"/>
      <c r="AA50" s="175"/>
      <c r="AB50" s="175"/>
      <c r="AC50" s="175"/>
      <c r="AD50" s="175"/>
      <c r="AE50" s="175"/>
      <c r="AF50" s="175"/>
      <c r="AG50" s="175"/>
      <c r="AH50" s="175"/>
      <c r="AI50" s="175"/>
      <c r="AJ50" s="175"/>
      <c r="AK50" s="175"/>
      <c r="AL50" s="175"/>
      <c r="AM50" s="175"/>
      <c r="AN50" s="156">
        <v>86531419</v>
      </c>
      <c r="AO50" s="157"/>
      <c r="AP50" s="157"/>
      <c r="AQ50" s="157"/>
      <c r="AR50" s="157"/>
      <c r="AS50" s="157"/>
      <c r="AT50" s="158"/>
      <c r="AU50" s="62"/>
    </row>
    <row r="51" spans="1:47" s="63" customFormat="1" ht="12.65" customHeight="1" x14ac:dyDescent="0.35">
      <c r="A51" s="59"/>
      <c r="B51" s="83">
        <v>2</v>
      </c>
      <c r="C51" s="214">
        <v>46046</v>
      </c>
      <c r="D51" s="215"/>
      <c r="E51" s="215"/>
      <c r="F51" s="215"/>
      <c r="G51" s="215"/>
      <c r="H51" s="215"/>
      <c r="I51" s="216">
        <v>27896</v>
      </c>
      <c r="J51" s="216"/>
      <c r="K51" s="216"/>
      <c r="L51" s="216"/>
      <c r="M51" s="216"/>
      <c r="N51" s="216"/>
      <c r="O51" s="216"/>
      <c r="P51" s="216"/>
      <c r="Q51" s="323" t="s">
        <v>107</v>
      </c>
      <c r="R51" s="324"/>
      <c r="S51" s="324"/>
      <c r="T51" s="324"/>
      <c r="U51" s="324"/>
      <c r="V51" s="324"/>
      <c r="W51" s="154"/>
      <c r="X51" s="155" t="s">
        <v>108</v>
      </c>
      <c r="Y51" s="155"/>
      <c r="Z51" s="155"/>
      <c r="AA51" s="155"/>
      <c r="AB51" s="155"/>
      <c r="AC51" s="155"/>
      <c r="AD51" s="155"/>
      <c r="AE51" s="155"/>
      <c r="AF51" s="155"/>
      <c r="AG51" s="155"/>
      <c r="AH51" s="155"/>
      <c r="AI51" s="155"/>
      <c r="AJ51" s="155"/>
      <c r="AK51" s="155"/>
      <c r="AL51" s="155"/>
      <c r="AM51" s="155"/>
      <c r="AN51" s="137">
        <v>29596800</v>
      </c>
      <c r="AO51" s="138"/>
      <c r="AP51" s="138"/>
      <c r="AQ51" s="138"/>
      <c r="AR51" s="138"/>
      <c r="AS51" s="138"/>
      <c r="AT51" s="139"/>
      <c r="AU51" s="62"/>
    </row>
    <row r="52" spans="1:47" s="63" customFormat="1" ht="12.65" customHeight="1" x14ac:dyDescent="0.35">
      <c r="A52" s="59"/>
      <c r="B52" s="83">
        <v>3</v>
      </c>
      <c r="C52" s="331">
        <v>46028</v>
      </c>
      <c r="D52" s="332"/>
      <c r="E52" s="332"/>
      <c r="F52" s="332"/>
      <c r="G52" s="332"/>
      <c r="H52" s="332"/>
      <c r="I52" s="155">
        <v>27706</v>
      </c>
      <c r="J52" s="155"/>
      <c r="K52" s="155"/>
      <c r="L52" s="155"/>
      <c r="M52" s="155"/>
      <c r="N52" s="155"/>
      <c r="O52" s="155"/>
      <c r="P52" s="155"/>
      <c r="Q52" s="155" t="s">
        <v>105</v>
      </c>
      <c r="R52" s="155"/>
      <c r="S52" s="155"/>
      <c r="T52" s="155"/>
      <c r="U52" s="155"/>
      <c r="V52" s="155"/>
      <c r="W52" s="155"/>
      <c r="X52" s="155" t="s">
        <v>106</v>
      </c>
      <c r="Y52" s="155"/>
      <c r="Z52" s="155"/>
      <c r="AA52" s="155"/>
      <c r="AB52" s="155"/>
      <c r="AC52" s="155"/>
      <c r="AD52" s="155"/>
      <c r="AE52" s="155"/>
      <c r="AF52" s="155"/>
      <c r="AG52" s="155"/>
      <c r="AH52" s="155"/>
      <c r="AI52" s="155"/>
      <c r="AJ52" s="155"/>
      <c r="AK52" s="155"/>
      <c r="AL52" s="155"/>
      <c r="AM52" s="155"/>
      <c r="AN52" s="212">
        <v>324000000</v>
      </c>
      <c r="AO52" s="212"/>
      <c r="AP52" s="212"/>
      <c r="AQ52" s="212"/>
      <c r="AR52" s="212"/>
      <c r="AS52" s="212"/>
      <c r="AT52" s="213"/>
      <c r="AU52" s="62"/>
    </row>
    <row r="53" spans="1:47" s="63" customFormat="1" ht="12.65" customHeight="1" x14ac:dyDescent="0.35">
      <c r="A53" s="59"/>
      <c r="B53" s="83">
        <v>4</v>
      </c>
      <c r="C53" s="214">
        <v>46029</v>
      </c>
      <c r="D53" s="215"/>
      <c r="E53" s="215"/>
      <c r="F53" s="215"/>
      <c r="G53" s="215"/>
      <c r="H53" s="215"/>
      <c r="I53" s="216">
        <v>27710</v>
      </c>
      <c r="J53" s="216"/>
      <c r="K53" s="216"/>
      <c r="L53" s="216"/>
      <c r="M53" s="216"/>
      <c r="N53" s="216"/>
      <c r="O53" s="216"/>
      <c r="P53" s="216"/>
      <c r="Q53" s="217" t="s">
        <v>145</v>
      </c>
      <c r="R53" s="218"/>
      <c r="S53" s="218"/>
      <c r="T53" s="218"/>
      <c r="U53" s="218"/>
      <c r="V53" s="218"/>
      <c r="W53" s="219"/>
      <c r="X53" s="136" t="s">
        <v>146</v>
      </c>
      <c r="Y53" s="136"/>
      <c r="Z53" s="136"/>
      <c r="AA53" s="136"/>
      <c r="AB53" s="136"/>
      <c r="AC53" s="136"/>
      <c r="AD53" s="136"/>
      <c r="AE53" s="136"/>
      <c r="AF53" s="136"/>
      <c r="AG53" s="136"/>
      <c r="AH53" s="136"/>
      <c r="AI53" s="136"/>
      <c r="AJ53" s="136"/>
      <c r="AK53" s="136"/>
      <c r="AL53" s="136"/>
      <c r="AM53" s="136"/>
      <c r="AN53" s="137">
        <v>98000000</v>
      </c>
      <c r="AO53" s="138"/>
      <c r="AP53" s="138"/>
      <c r="AQ53" s="138"/>
      <c r="AR53" s="138"/>
      <c r="AS53" s="138"/>
      <c r="AT53" s="139"/>
      <c r="AU53" s="62"/>
    </row>
    <row r="54" spans="1:47" s="63" customFormat="1" ht="12.65" customHeight="1" thickBot="1" x14ac:dyDescent="0.4">
      <c r="A54" s="59"/>
      <c r="B54" s="86">
        <v>5</v>
      </c>
      <c r="C54" s="140"/>
      <c r="D54" s="141"/>
      <c r="E54" s="141"/>
      <c r="F54" s="141"/>
      <c r="G54" s="141"/>
      <c r="H54" s="141"/>
      <c r="I54" s="142"/>
      <c r="J54" s="142"/>
      <c r="K54" s="142"/>
      <c r="L54" s="142"/>
      <c r="M54" s="142"/>
      <c r="N54" s="142"/>
      <c r="O54" s="142"/>
      <c r="P54" s="142"/>
      <c r="Q54" s="143"/>
      <c r="R54" s="144"/>
      <c r="S54" s="144"/>
      <c r="T54" s="144"/>
      <c r="U54" s="144"/>
      <c r="V54" s="144"/>
      <c r="W54" s="145"/>
      <c r="X54" s="142"/>
      <c r="Y54" s="142"/>
      <c r="Z54" s="142"/>
      <c r="AA54" s="142"/>
      <c r="AB54" s="142"/>
      <c r="AC54" s="142"/>
      <c r="AD54" s="142"/>
      <c r="AE54" s="142"/>
      <c r="AF54" s="142"/>
      <c r="AG54" s="142"/>
      <c r="AH54" s="142"/>
      <c r="AI54" s="142"/>
      <c r="AJ54" s="142"/>
      <c r="AK54" s="142"/>
      <c r="AL54" s="142"/>
      <c r="AM54" s="142"/>
      <c r="AN54" s="146"/>
      <c r="AO54" s="147"/>
      <c r="AP54" s="147"/>
      <c r="AQ54" s="147"/>
      <c r="AR54" s="147"/>
      <c r="AS54" s="147"/>
      <c r="AT54" s="148"/>
      <c r="AU54" s="62"/>
    </row>
    <row r="55" spans="1:47" ht="12.65" customHeight="1" thickBot="1" x14ac:dyDescent="0.4">
      <c r="A55" s="13"/>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4" t="s">
        <v>85</v>
      </c>
      <c r="AN55" s="209">
        <f>SUM(AN50:AT54)</f>
        <v>538128219</v>
      </c>
      <c r="AO55" s="210"/>
      <c r="AP55" s="210"/>
      <c r="AQ55" s="210"/>
      <c r="AR55" s="210"/>
      <c r="AS55" s="210"/>
      <c r="AT55" s="211"/>
      <c r="AU55" s="14"/>
    </row>
    <row r="56" spans="1:47" ht="12.65" customHeight="1" x14ac:dyDescent="0.35">
      <c r="A56" s="13"/>
      <c r="B56" s="48"/>
      <c r="C56" s="48"/>
      <c r="D56" s="48"/>
      <c r="E56" s="48"/>
      <c r="F56" s="48"/>
      <c r="G56" s="48"/>
      <c r="H56" s="48"/>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14"/>
    </row>
    <row r="57" spans="1:47" ht="12.65" customHeight="1" x14ac:dyDescent="0.35">
      <c r="A57" s="13"/>
      <c r="B57" s="199" t="s">
        <v>23</v>
      </c>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4"/>
    </row>
    <row r="58" spans="1:47" ht="12.65" customHeight="1" x14ac:dyDescent="0.35">
      <c r="A58" s="13"/>
      <c r="B58" s="48"/>
      <c r="C58" s="48"/>
      <c r="D58" s="48"/>
      <c r="E58" s="48"/>
      <c r="F58" s="48"/>
      <c r="G58" s="48"/>
      <c r="H58" s="48"/>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14"/>
    </row>
    <row r="59" spans="1:47" s="63" customFormat="1" ht="12.65" customHeight="1" thickBot="1" x14ac:dyDescent="0.4">
      <c r="A59" s="59"/>
      <c r="B59" s="195" t="s">
        <v>95</v>
      </c>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c r="AA59" s="195"/>
      <c r="AB59" s="195"/>
      <c r="AC59" s="195"/>
      <c r="AD59" s="195"/>
      <c r="AE59" s="195"/>
      <c r="AF59" s="195"/>
      <c r="AG59" s="195"/>
      <c r="AH59" s="195"/>
      <c r="AI59" s="195"/>
      <c r="AJ59" s="195"/>
      <c r="AK59" s="195"/>
      <c r="AL59" s="195"/>
      <c r="AM59" s="195"/>
      <c r="AN59" s="195"/>
      <c r="AO59" s="195"/>
      <c r="AP59" s="195"/>
      <c r="AQ59" s="195"/>
      <c r="AR59" s="195"/>
      <c r="AS59" s="195"/>
      <c r="AT59" s="195"/>
      <c r="AU59" s="62"/>
    </row>
    <row r="60" spans="1:47" s="63" customFormat="1" ht="12.65" customHeight="1" thickBot="1" x14ac:dyDescent="0.4">
      <c r="A60" s="59"/>
      <c r="B60" s="89" t="s">
        <v>21</v>
      </c>
      <c r="C60" s="327" t="s">
        <v>29</v>
      </c>
      <c r="D60" s="206"/>
      <c r="E60" s="206"/>
      <c r="F60" s="206"/>
      <c r="G60" s="206"/>
      <c r="H60" s="206"/>
      <c r="I60" s="206" t="s">
        <v>30</v>
      </c>
      <c r="J60" s="206"/>
      <c r="K60" s="206"/>
      <c r="L60" s="206"/>
      <c r="M60" s="206"/>
      <c r="N60" s="225" t="s">
        <v>71</v>
      </c>
      <c r="O60" s="226"/>
      <c r="P60" s="226"/>
      <c r="Q60" s="226"/>
      <c r="R60" s="226"/>
      <c r="S60" s="226"/>
      <c r="T60" s="226"/>
      <c r="U60" s="226"/>
      <c r="V60" s="226"/>
      <c r="W60" s="226"/>
      <c r="X60" s="226"/>
      <c r="Y60" s="226"/>
      <c r="Z60" s="226"/>
      <c r="AA60" s="226"/>
      <c r="AB60" s="226"/>
      <c r="AC60" s="227"/>
      <c r="AD60" s="206" t="s">
        <v>31</v>
      </c>
      <c r="AE60" s="206"/>
      <c r="AF60" s="206"/>
      <c r="AG60" s="206"/>
      <c r="AH60" s="206"/>
      <c r="AI60" s="206" t="s">
        <v>72</v>
      </c>
      <c r="AJ60" s="206"/>
      <c r="AK60" s="206"/>
      <c r="AL60" s="206"/>
      <c r="AM60" s="206"/>
      <c r="AN60" s="206" t="s">
        <v>32</v>
      </c>
      <c r="AO60" s="206"/>
      <c r="AP60" s="206"/>
      <c r="AQ60" s="206"/>
      <c r="AR60" s="206"/>
      <c r="AS60" s="206"/>
      <c r="AT60" s="322"/>
      <c r="AU60" s="62"/>
    </row>
    <row r="61" spans="1:47" s="63" customFormat="1" ht="12.65" customHeight="1" x14ac:dyDescent="0.35">
      <c r="A61" s="59"/>
      <c r="B61" s="90">
        <v>1</v>
      </c>
      <c r="C61" s="330" t="s">
        <v>111</v>
      </c>
      <c r="D61" s="175"/>
      <c r="E61" s="175"/>
      <c r="F61" s="175"/>
      <c r="G61" s="175"/>
      <c r="H61" s="175"/>
      <c r="I61" s="175" t="s">
        <v>112</v>
      </c>
      <c r="J61" s="175"/>
      <c r="K61" s="175"/>
      <c r="L61" s="175"/>
      <c r="M61" s="175"/>
      <c r="N61" s="333" t="s">
        <v>103</v>
      </c>
      <c r="O61" s="334"/>
      <c r="P61" s="334"/>
      <c r="Q61" s="334"/>
      <c r="R61" s="334"/>
      <c r="S61" s="334"/>
      <c r="T61" s="334"/>
      <c r="U61" s="334"/>
      <c r="V61" s="334"/>
      <c r="W61" s="334"/>
      <c r="X61" s="334"/>
      <c r="Y61" s="334"/>
      <c r="Z61" s="334"/>
      <c r="AA61" s="334"/>
      <c r="AB61" s="334"/>
      <c r="AC61" s="335"/>
      <c r="AD61" s="178">
        <v>45957</v>
      </c>
      <c r="AE61" s="178"/>
      <c r="AF61" s="178"/>
      <c r="AG61" s="178"/>
      <c r="AH61" s="178"/>
      <c r="AI61" s="178">
        <v>46568</v>
      </c>
      <c r="AJ61" s="178"/>
      <c r="AK61" s="178"/>
      <c r="AL61" s="178"/>
      <c r="AM61" s="178"/>
      <c r="AN61" s="156">
        <v>77225643.799999997</v>
      </c>
      <c r="AO61" s="157"/>
      <c r="AP61" s="157"/>
      <c r="AQ61" s="157"/>
      <c r="AR61" s="157"/>
      <c r="AS61" s="157"/>
      <c r="AT61" s="158"/>
      <c r="AU61" s="62"/>
    </row>
    <row r="62" spans="1:47" s="63" customFormat="1" ht="12.65" customHeight="1" x14ac:dyDescent="0.35">
      <c r="A62" s="59"/>
      <c r="B62" s="91">
        <v>2</v>
      </c>
      <c r="C62" s="154"/>
      <c r="D62" s="155"/>
      <c r="E62" s="155"/>
      <c r="F62" s="155"/>
      <c r="G62" s="155"/>
      <c r="H62" s="155"/>
      <c r="I62" s="175"/>
      <c r="J62" s="175"/>
      <c r="K62" s="175"/>
      <c r="L62" s="175"/>
      <c r="M62" s="175"/>
      <c r="N62" s="329" t="s">
        <v>109</v>
      </c>
      <c r="O62" s="172"/>
      <c r="P62" s="172"/>
      <c r="Q62" s="172"/>
      <c r="R62" s="172"/>
      <c r="S62" s="172"/>
      <c r="T62" s="172"/>
      <c r="U62" s="172"/>
      <c r="V62" s="172"/>
      <c r="W62" s="172"/>
      <c r="X62" s="172"/>
      <c r="Y62" s="172"/>
      <c r="Z62" s="172"/>
      <c r="AA62" s="172"/>
      <c r="AB62" s="172"/>
      <c r="AC62" s="173"/>
      <c r="AD62" s="178">
        <v>45957</v>
      </c>
      <c r="AE62" s="178"/>
      <c r="AF62" s="178"/>
      <c r="AG62" s="178"/>
      <c r="AH62" s="178"/>
      <c r="AI62" s="176">
        <v>46568</v>
      </c>
      <c r="AJ62" s="176"/>
      <c r="AK62" s="176"/>
      <c r="AL62" s="176"/>
      <c r="AM62" s="176"/>
      <c r="AN62" s="137">
        <v>77225643.799999997</v>
      </c>
      <c r="AO62" s="138"/>
      <c r="AP62" s="138"/>
      <c r="AQ62" s="138"/>
      <c r="AR62" s="138"/>
      <c r="AS62" s="138"/>
      <c r="AT62" s="139"/>
      <c r="AU62" s="62"/>
    </row>
    <row r="63" spans="1:47" s="63" customFormat="1" ht="12.65" customHeight="1" x14ac:dyDescent="0.35">
      <c r="A63" s="59"/>
      <c r="B63" s="91">
        <v>3</v>
      </c>
      <c r="C63" s="154"/>
      <c r="D63" s="155"/>
      <c r="E63" s="155"/>
      <c r="F63" s="155"/>
      <c r="G63" s="155"/>
      <c r="H63" s="155"/>
      <c r="I63" s="175"/>
      <c r="J63" s="175"/>
      <c r="K63" s="175"/>
      <c r="L63" s="175"/>
      <c r="M63" s="175"/>
      <c r="N63" s="329" t="s">
        <v>110</v>
      </c>
      <c r="O63" s="172"/>
      <c r="P63" s="172"/>
      <c r="Q63" s="172"/>
      <c r="R63" s="172"/>
      <c r="S63" s="172"/>
      <c r="T63" s="172"/>
      <c r="U63" s="172"/>
      <c r="V63" s="172"/>
      <c r="W63" s="172"/>
      <c r="X63" s="172"/>
      <c r="Y63" s="172"/>
      <c r="Z63" s="172"/>
      <c r="AA63" s="172"/>
      <c r="AB63" s="172"/>
      <c r="AC63" s="173"/>
      <c r="AD63" s="178">
        <v>45957</v>
      </c>
      <c r="AE63" s="178"/>
      <c r="AF63" s="178"/>
      <c r="AG63" s="178"/>
      <c r="AH63" s="178"/>
      <c r="AI63" s="176">
        <v>47483</v>
      </c>
      <c r="AJ63" s="176"/>
      <c r="AK63" s="176"/>
      <c r="AL63" s="176"/>
      <c r="AM63" s="176"/>
      <c r="AN63" s="137">
        <v>38612821.899999999</v>
      </c>
      <c r="AO63" s="138"/>
      <c r="AP63" s="138"/>
      <c r="AQ63" s="138"/>
      <c r="AR63" s="138"/>
      <c r="AS63" s="138"/>
      <c r="AT63" s="139"/>
      <c r="AU63" s="62"/>
    </row>
    <row r="64" spans="1:47" s="63" customFormat="1" ht="12.65" customHeight="1" x14ac:dyDescent="0.35">
      <c r="A64" s="59"/>
      <c r="B64" s="91">
        <v>4</v>
      </c>
      <c r="C64" s="219"/>
      <c r="D64" s="216"/>
      <c r="E64" s="216"/>
      <c r="F64" s="216"/>
      <c r="G64" s="216"/>
      <c r="H64" s="216"/>
      <c r="I64" s="216"/>
      <c r="J64" s="216"/>
      <c r="K64" s="216"/>
      <c r="L64" s="216"/>
      <c r="M64" s="216"/>
      <c r="N64" s="171"/>
      <c r="O64" s="172"/>
      <c r="P64" s="172"/>
      <c r="Q64" s="172"/>
      <c r="R64" s="172"/>
      <c r="S64" s="172"/>
      <c r="T64" s="172"/>
      <c r="U64" s="172"/>
      <c r="V64" s="172"/>
      <c r="W64" s="172"/>
      <c r="X64" s="172"/>
      <c r="Y64" s="172"/>
      <c r="Z64" s="172"/>
      <c r="AA64" s="172"/>
      <c r="AB64" s="172"/>
      <c r="AC64" s="173"/>
      <c r="AD64" s="328"/>
      <c r="AE64" s="328"/>
      <c r="AF64" s="328"/>
      <c r="AG64" s="328"/>
      <c r="AH64" s="328"/>
      <c r="AI64" s="328"/>
      <c r="AJ64" s="328"/>
      <c r="AK64" s="328"/>
      <c r="AL64" s="328"/>
      <c r="AM64" s="328"/>
      <c r="AN64" s="187"/>
      <c r="AO64" s="188"/>
      <c r="AP64" s="188"/>
      <c r="AQ64" s="188"/>
      <c r="AR64" s="188"/>
      <c r="AS64" s="188"/>
      <c r="AT64" s="189"/>
      <c r="AU64" s="62"/>
    </row>
    <row r="65" spans="1:47" s="63" customFormat="1" ht="12.65" customHeight="1" thickBot="1" x14ac:dyDescent="0.4">
      <c r="A65" s="59"/>
      <c r="B65" s="92">
        <v>5</v>
      </c>
      <c r="C65" s="145"/>
      <c r="D65" s="142"/>
      <c r="E65" s="142"/>
      <c r="F65" s="142"/>
      <c r="G65" s="142"/>
      <c r="H65" s="142"/>
      <c r="I65" s="142"/>
      <c r="J65" s="142"/>
      <c r="K65" s="142"/>
      <c r="L65" s="142"/>
      <c r="M65" s="142"/>
      <c r="N65" s="184"/>
      <c r="O65" s="185"/>
      <c r="P65" s="185"/>
      <c r="Q65" s="185"/>
      <c r="R65" s="185"/>
      <c r="S65" s="185"/>
      <c r="T65" s="185"/>
      <c r="U65" s="185"/>
      <c r="V65" s="185"/>
      <c r="W65" s="185"/>
      <c r="X65" s="185"/>
      <c r="Y65" s="185"/>
      <c r="Z65" s="185"/>
      <c r="AA65" s="185"/>
      <c r="AB65" s="185"/>
      <c r="AC65" s="186"/>
      <c r="AD65" s="174"/>
      <c r="AE65" s="174"/>
      <c r="AF65" s="174"/>
      <c r="AG65" s="174"/>
      <c r="AH65" s="174"/>
      <c r="AI65" s="174"/>
      <c r="AJ65" s="174"/>
      <c r="AK65" s="174"/>
      <c r="AL65" s="174"/>
      <c r="AM65" s="174"/>
      <c r="AN65" s="168"/>
      <c r="AO65" s="169"/>
      <c r="AP65" s="169"/>
      <c r="AQ65" s="169"/>
      <c r="AR65" s="169"/>
      <c r="AS65" s="169"/>
      <c r="AT65" s="170"/>
      <c r="AU65" s="62"/>
    </row>
    <row r="66" spans="1:47" ht="12.65" customHeight="1" x14ac:dyDescent="0.35">
      <c r="A66" s="13"/>
      <c r="B66" s="48"/>
      <c r="C66" s="48"/>
      <c r="D66" s="48"/>
      <c r="E66" s="48"/>
      <c r="F66" s="48"/>
      <c r="G66" s="48"/>
      <c r="H66" s="48"/>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14"/>
    </row>
    <row r="67" spans="1:47" ht="12.65" customHeight="1" x14ac:dyDescent="0.35">
      <c r="A67" s="13"/>
      <c r="B67" s="48"/>
      <c r="C67" s="48"/>
      <c r="D67" s="48"/>
      <c r="E67" s="48"/>
      <c r="F67" s="48"/>
      <c r="G67" s="48"/>
      <c r="H67" s="48"/>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14"/>
    </row>
    <row r="68" spans="1:47" ht="12.65" customHeight="1" x14ac:dyDescent="0.35">
      <c r="A68" s="13"/>
      <c r="B68" s="199" t="s">
        <v>74</v>
      </c>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4"/>
    </row>
    <row r="69" spans="1:47" ht="12.65" customHeight="1" thickBot="1" x14ac:dyDescent="0.4">
      <c r="A69" s="13"/>
      <c r="B69" s="48"/>
      <c r="C69" s="48"/>
      <c r="D69" s="48"/>
      <c r="E69" s="48"/>
      <c r="F69" s="48"/>
      <c r="G69" s="48"/>
      <c r="H69" s="48"/>
      <c r="I69" s="2"/>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2"/>
      <c r="AK69" s="2"/>
      <c r="AL69" s="2"/>
      <c r="AM69" s="2"/>
      <c r="AN69" s="2"/>
      <c r="AO69" s="2"/>
      <c r="AP69" s="2"/>
      <c r="AQ69" s="2"/>
      <c r="AR69" s="2"/>
      <c r="AS69" s="2"/>
      <c r="AT69" s="2"/>
      <c r="AU69" s="14"/>
    </row>
    <row r="70" spans="1:47" ht="63" customHeight="1" x14ac:dyDescent="0.35">
      <c r="A70" s="13"/>
      <c r="B70" s="345" t="s">
        <v>3</v>
      </c>
      <c r="C70" s="163"/>
      <c r="D70" s="163"/>
      <c r="E70" s="163"/>
      <c r="F70" s="162" t="s">
        <v>90</v>
      </c>
      <c r="G70" s="163"/>
      <c r="H70" s="163"/>
      <c r="I70" s="163"/>
      <c r="J70" s="163"/>
      <c r="K70" s="163"/>
      <c r="L70" s="163"/>
      <c r="M70" s="163"/>
      <c r="N70" s="163"/>
      <c r="O70" s="163"/>
      <c r="P70" s="163"/>
      <c r="Q70" s="163"/>
      <c r="R70" s="163"/>
      <c r="S70" s="163"/>
      <c r="T70" s="163"/>
      <c r="U70" s="347"/>
      <c r="V70" s="159" t="s">
        <v>86</v>
      </c>
      <c r="W70" s="160"/>
      <c r="X70" s="159" t="s">
        <v>87</v>
      </c>
      <c r="Y70" s="160"/>
      <c r="Z70" s="160"/>
      <c r="AA70" s="159" t="s">
        <v>88</v>
      </c>
      <c r="AB70" s="160"/>
      <c r="AC70" s="160"/>
      <c r="AD70" s="159" t="s">
        <v>89</v>
      </c>
      <c r="AE70" s="160"/>
      <c r="AF70" s="160"/>
      <c r="AG70" s="159" t="s">
        <v>64</v>
      </c>
      <c r="AH70" s="160"/>
      <c r="AI70" s="160"/>
      <c r="AJ70" s="162" t="s">
        <v>65</v>
      </c>
      <c r="AK70" s="163"/>
      <c r="AL70" s="163"/>
      <c r="AM70" s="163"/>
      <c r="AN70" s="163"/>
      <c r="AO70" s="163"/>
      <c r="AP70" s="163"/>
      <c r="AQ70" s="163"/>
      <c r="AR70" s="163"/>
      <c r="AS70" s="163"/>
      <c r="AT70" s="164"/>
      <c r="AU70" s="14"/>
    </row>
    <row r="71" spans="1:47" ht="25.5" customHeight="1" x14ac:dyDescent="0.35">
      <c r="A71" s="13"/>
      <c r="B71" s="346"/>
      <c r="C71" s="166"/>
      <c r="D71" s="166"/>
      <c r="E71" s="166"/>
      <c r="F71" s="348"/>
      <c r="G71" s="349"/>
      <c r="H71" s="349"/>
      <c r="I71" s="349"/>
      <c r="J71" s="349"/>
      <c r="K71" s="349"/>
      <c r="L71" s="349"/>
      <c r="M71" s="349"/>
      <c r="N71" s="349"/>
      <c r="O71" s="349"/>
      <c r="P71" s="349"/>
      <c r="Q71" s="349"/>
      <c r="R71" s="349"/>
      <c r="S71" s="349"/>
      <c r="T71" s="349"/>
      <c r="U71" s="350"/>
      <c r="V71" s="161"/>
      <c r="W71" s="161"/>
      <c r="X71" s="161"/>
      <c r="Y71" s="161"/>
      <c r="Z71" s="161"/>
      <c r="AA71" s="161"/>
      <c r="AB71" s="161"/>
      <c r="AC71" s="161"/>
      <c r="AD71" s="161"/>
      <c r="AE71" s="161"/>
      <c r="AF71" s="161"/>
      <c r="AG71" s="161"/>
      <c r="AH71" s="161"/>
      <c r="AI71" s="161"/>
      <c r="AJ71" s="165"/>
      <c r="AK71" s="166"/>
      <c r="AL71" s="166"/>
      <c r="AM71" s="166"/>
      <c r="AN71" s="166"/>
      <c r="AO71" s="166"/>
      <c r="AP71" s="166"/>
      <c r="AQ71" s="166"/>
      <c r="AR71" s="166"/>
      <c r="AS71" s="166"/>
      <c r="AT71" s="167"/>
      <c r="AU71" s="14"/>
    </row>
    <row r="72" spans="1:47" ht="130" customHeight="1" x14ac:dyDescent="0.35">
      <c r="A72" s="13"/>
      <c r="B72" s="149">
        <v>1</v>
      </c>
      <c r="C72" s="150"/>
      <c r="D72" s="150"/>
      <c r="E72" s="151"/>
      <c r="F72" s="152" t="s">
        <v>113</v>
      </c>
      <c r="G72" s="152"/>
      <c r="H72" s="152"/>
      <c r="I72" s="152"/>
      <c r="J72" s="152"/>
      <c r="K72" s="152"/>
      <c r="L72" s="152"/>
      <c r="M72" s="152"/>
      <c r="N72" s="152"/>
      <c r="O72" s="152"/>
      <c r="P72" s="152"/>
      <c r="Q72" s="152"/>
      <c r="R72" s="152"/>
      <c r="S72" s="152"/>
      <c r="T72" s="152"/>
      <c r="U72" s="152"/>
      <c r="V72" s="153"/>
      <c r="W72" s="153"/>
      <c r="X72" s="153"/>
      <c r="Y72" s="153"/>
      <c r="Z72" s="153"/>
      <c r="AA72" s="153"/>
      <c r="AB72" s="153"/>
      <c r="AC72" s="153"/>
      <c r="AD72" s="355" t="s">
        <v>133</v>
      </c>
      <c r="AE72" s="356"/>
      <c r="AF72" s="357"/>
      <c r="AG72" s="355"/>
      <c r="AH72" s="356"/>
      <c r="AI72" s="357"/>
      <c r="AJ72" s="358"/>
      <c r="AK72" s="359"/>
      <c r="AL72" s="359"/>
      <c r="AM72" s="359"/>
      <c r="AN72" s="359"/>
      <c r="AO72" s="359"/>
      <c r="AP72" s="359"/>
      <c r="AQ72" s="359"/>
      <c r="AR72" s="359"/>
      <c r="AS72" s="359"/>
      <c r="AT72" s="360"/>
      <c r="AU72" s="14"/>
    </row>
    <row r="73" spans="1:47" ht="189" customHeight="1" x14ac:dyDescent="0.35">
      <c r="A73" s="13"/>
      <c r="B73" s="149">
        <v>2</v>
      </c>
      <c r="C73" s="150"/>
      <c r="D73" s="150"/>
      <c r="E73" s="151"/>
      <c r="F73" s="152" t="s">
        <v>114</v>
      </c>
      <c r="G73" s="152"/>
      <c r="H73" s="152"/>
      <c r="I73" s="152"/>
      <c r="J73" s="152"/>
      <c r="K73" s="152"/>
      <c r="L73" s="152"/>
      <c r="M73" s="152"/>
      <c r="N73" s="152"/>
      <c r="O73" s="152"/>
      <c r="P73" s="152"/>
      <c r="Q73" s="152"/>
      <c r="R73" s="152"/>
      <c r="S73" s="152"/>
      <c r="T73" s="152"/>
      <c r="U73" s="152"/>
      <c r="V73" s="153"/>
      <c r="W73" s="153"/>
      <c r="X73" s="153"/>
      <c r="Y73" s="153"/>
      <c r="Z73" s="153"/>
      <c r="AA73" s="153"/>
      <c r="AB73" s="153"/>
      <c r="AC73" s="153"/>
      <c r="AD73" s="355" t="s">
        <v>133</v>
      </c>
      <c r="AE73" s="356"/>
      <c r="AF73" s="357"/>
      <c r="AG73" s="355"/>
      <c r="AH73" s="356"/>
      <c r="AI73" s="357"/>
      <c r="AJ73" s="358"/>
      <c r="AK73" s="359"/>
      <c r="AL73" s="359"/>
      <c r="AM73" s="359"/>
      <c r="AN73" s="359"/>
      <c r="AO73" s="359"/>
      <c r="AP73" s="359"/>
      <c r="AQ73" s="359"/>
      <c r="AR73" s="359"/>
      <c r="AS73" s="359"/>
      <c r="AT73" s="360"/>
      <c r="AU73" s="14"/>
    </row>
    <row r="74" spans="1:47" ht="157" customHeight="1" x14ac:dyDescent="0.35">
      <c r="A74" s="13"/>
      <c r="B74" s="149">
        <v>3</v>
      </c>
      <c r="C74" s="150"/>
      <c r="D74" s="150"/>
      <c r="E74" s="151"/>
      <c r="F74" s="152" t="s">
        <v>115</v>
      </c>
      <c r="G74" s="152"/>
      <c r="H74" s="152"/>
      <c r="I74" s="152"/>
      <c r="J74" s="152"/>
      <c r="K74" s="152"/>
      <c r="L74" s="152"/>
      <c r="M74" s="152"/>
      <c r="N74" s="152"/>
      <c r="O74" s="152"/>
      <c r="P74" s="152"/>
      <c r="Q74" s="152"/>
      <c r="R74" s="152"/>
      <c r="S74" s="152"/>
      <c r="T74" s="152"/>
      <c r="U74" s="152"/>
      <c r="V74" s="153" t="s">
        <v>133</v>
      </c>
      <c r="W74" s="153"/>
      <c r="X74" s="153"/>
      <c r="Y74" s="153"/>
      <c r="Z74" s="153"/>
      <c r="AA74" s="153"/>
      <c r="AB74" s="153"/>
      <c r="AC74" s="153"/>
      <c r="AD74" s="355"/>
      <c r="AE74" s="356"/>
      <c r="AF74" s="357"/>
      <c r="AG74" s="355"/>
      <c r="AH74" s="356"/>
      <c r="AI74" s="357"/>
      <c r="AJ74" s="361" t="s">
        <v>134</v>
      </c>
      <c r="AK74" s="362"/>
      <c r="AL74" s="362"/>
      <c r="AM74" s="362"/>
      <c r="AN74" s="362"/>
      <c r="AO74" s="362"/>
      <c r="AP74" s="362"/>
      <c r="AQ74" s="362"/>
      <c r="AR74" s="362"/>
      <c r="AS74" s="362"/>
      <c r="AT74" s="363"/>
      <c r="AU74" s="14"/>
    </row>
    <row r="75" spans="1:47" ht="196.5" customHeight="1" x14ac:dyDescent="0.35">
      <c r="A75" s="13"/>
      <c r="B75" s="149">
        <v>4</v>
      </c>
      <c r="C75" s="150"/>
      <c r="D75" s="150"/>
      <c r="E75" s="151"/>
      <c r="F75" s="152" t="s">
        <v>116</v>
      </c>
      <c r="G75" s="152"/>
      <c r="H75" s="152"/>
      <c r="I75" s="152"/>
      <c r="J75" s="152"/>
      <c r="K75" s="152"/>
      <c r="L75" s="152"/>
      <c r="M75" s="152"/>
      <c r="N75" s="152"/>
      <c r="O75" s="152"/>
      <c r="P75" s="152"/>
      <c r="Q75" s="152"/>
      <c r="R75" s="152"/>
      <c r="S75" s="152"/>
      <c r="T75" s="152"/>
      <c r="U75" s="152"/>
      <c r="V75" s="153" t="s">
        <v>133</v>
      </c>
      <c r="W75" s="153"/>
      <c r="X75" s="153"/>
      <c r="Y75" s="153"/>
      <c r="Z75" s="153"/>
      <c r="AA75" s="153"/>
      <c r="AB75" s="153"/>
      <c r="AC75" s="153"/>
      <c r="AD75" s="355"/>
      <c r="AE75" s="356"/>
      <c r="AF75" s="357"/>
      <c r="AG75" s="355"/>
      <c r="AH75" s="356"/>
      <c r="AI75" s="357"/>
      <c r="AJ75" s="361" t="s">
        <v>135</v>
      </c>
      <c r="AK75" s="362"/>
      <c r="AL75" s="362"/>
      <c r="AM75" s="362"/>
      <c r="AN75" s="362"/>
      <c r="AO75" s="362"/>
      <c r="AP75" s="362"/>
      <c r="AQ75" s="362"/>
      <c r="AR75" s="362"/>
      <c r="AS75" s="362"/>
      <c r="AT75" s="363"/>
      <c r="AU75" s="14"/>
    </row>
    <row r="76" spans="1:47" ht="41" customHeight="1" x14ac:dyDescent="0.35">
      <c r="A76" s="13"/>
      <c r="B76" s="149">
        <v>5</v>
      </c>
      <c r="C76" s="150"/>
      <c r="D76" s="150"/>
      <c r="E76" s="151"/>
      <c r="F76" s="152" t="s">
        <v>117</v>
      </c>
      <c r="G76" s="152"/>
      <c r="H76" s="152"/>
      <c r="I76" s="152"/>
      <c r="J76" s="152"/>
      <c r="K76" s="152"/>
      <c r="L76" s="152"/>
      <c r="M76" s="152"/>
      <c r="N76" s="152"/>
      <c r="O76" s="152"/>
      <c r="P76" s="152"/>
      <c r="Q76" s="152"/>
      <c r="R76" s="152"/>
      <c r="S76" s="152"/>
      <c r="T76" s="152"/>
      <c r="U76" s="152"/>
      <c r="V76" s="153"/>
      <c r="W76" s="153"/>
      <c r="X76" s="153"/>
      <c r="Y76" s="153"/>
      <c r="Z76" s="153"/>
      <c r="AA76" s="153"/>
      <c r="AB76" s="153"/>
      <c r="AC76" s="153"/>
      <c r="AD76" s="355" t="s">
        <v>133</v>
      </c>
      <c r="AE76" s="356"/>
      <c r="AF76" s="357"/>
      <c r="AG76" s="355"/>
      <c r="AH76" s="356"/>
      <c r="AI76" s="357"/>
      <c r="AJ76" s="358"/>
      <c r="AK76" s="359"/>
      <c r="AL76" s="359"/>
      <c r="AM76" s="359"/>
      <c r="AN76" s="359"/>
      <c r="AO76" s="359"/>
      <c r="AP76" s="359"/>
      <c r="AQ76" s="359"/>
      <c r="AR76" s="359"/>
      <c r="AS76" s="359"/>
      <c r="AT76" s="360"/>
      <c r="AU76" s="14"/>
    </row>
    <row r="77" spans="1:47" ht="40.5" customHeight="1" x14ac:dyDescent="0.35">
      <c r="A77" s="13"/>
      <c r="B77" s="149">
        <v>6</v>
      </c>
      <c r="C77" s="150"/>
      <c r="D77" s="150"/>
      <c r="E77" s="151"/>
      <c r="F77" s="152" t="s">
        <v>118</v>
      </c>
      <c r="G77" s="152"/>
      <c r="H77" s="152"/>
      <c r="I77" s="152"/>
      <c r="J77" s="152"/>
      <c r="K77" s="152"/>
      <c r="L77" s="152"/>
      <c r="M77" s="152"/>
      <c r="N77" s="152"/>
      <c r="O77" s="152"/>
      <c r="P77" s="152"/>
      <c r="Q77" s="152"/>
      <c r="R77" s="152"/>
      <c r="S77" s="152"/>
      <c r="T77" s="152"/>
      <c r="U77" s="152"/>
      <c r="V77" s="153" t="s">
        <v>133</v>
      </c>
      <c r="W77" s="153"/>
      <c r="X77" s="153"/>
      <c r="Y77" s="153"/>
      <c r="Z77" s="153"/>
      <c r="AA77" s="153"/>
      <c r="AB77" s="153"/>
      <c r="AC77" s="153"/>
      <c r="AD77" s="355"/>
      <c r="AE77" s="356"/>
      <c r="AF77" s="357"/>
      <c r="AG77" s="355"/>
      <c r="AH77" s="356"/>
      <c r="AI77" s="357"/>
      <c r="AJ77" s="361" t="s">
        <v>135</v>
      </c>
      <c r="AK77" s="362"/>
      <c r="AL77" s="362"/>
      <c r="AM77" s="362"/>
      <c r="AN77" s="362"/>
      <c r="AO77" s="362"/>
      <c r="AP77" s="362"/>
      <c r="AQ77" s="362"/>
      <c r="AR77" s="362"/>
      <c r="AS77" s="362"/>
      <c r="AT77" s="363"/>
      <c r="AU77" s="14"/>
    </row>
    <row r="78" spans="1:47" ht="27" customHeight="1" x14ac:dyDescent="0.35">
      <c r="A78" s="13"/>
      <c r="B78" s="149">
        <v>7</v>
      </c>
      <c r="C78" s="150"/>
      <c r="D78" s="150"/>
      <c r="E78" s="151"/>
      <c r="F78" s="152" t="s">
        <v>119</v>
      </c>
      <c r="G78" s="152"/>
      <c r="H78" s="152"/>
      <c r="I78" s="152"/>
      <c r="J78" s="152"/>
      <c r="K78" s="152"/>
      <c r="L78" s="152"/>
      <c r="M78" s="152"/>
      <c r="N78" s="152"/>
      <c r="O78" s="152"/>
      <c r="P78" s="152"/>
      <c r="Q78" s="152"/>
      <c r="R78" s="152"/>
      <c r="S78" s="152"/>
      <c r="T78" s="152"/>
      <c r="U78" s="152"/>
      <c r="V78" s="153" t="s">
        <v>133</v>
      </c>
      <c r="W78" s="153"/>
      <c r="X78" s="153"/>
      <c r="Y78" s="153"/>
      <c r="Z78" s="153"/>
      <c r="AA78" s="153"/>
      <c r="AB78" s="153"/>
      <c r="AC78" s="153"/>
      <c r="AD78" s="355"/>
      <c r="AE78" s="356"/>
      <c r="AF78" s="357"/>
      <c r="AG78" s="355"/>
      <c r="AH78" s="356"/>
      <c r="AI78" s="357"/>
      <c r="AJ78" s="361" t="s">
        <v>135</v>
      </c>
      <c r="AK78" s="362"/>
      <c r="AL78" s="362"/>
      <c r="AM78" s="362"/>
      <c r="AN78" s="362"/>
      <c r="AO78" s="362"/>
      <c r="AP78" s="362"/>
      <c r="AQ78" s="362"/>
      <c r="AR78" s="362"/>
      <c r="AS78" s="362"/>
      <c r="AT78" s="363"/>
      <c r="AU78" s="14"/>
    </row>
    <row r="79" spans="1:47" ht="22" customHeight="1" x14ac:dyDescent="0.35">
      <c r="A79" s="13"/>
      <c r="B79" s="149">
        <v>8</v>
      </c>
      <c r="C79" s="150"/>
      <c r="D79" s="150"/>
      <c r="E79" s="151"/>
      <c r="F79" s="152" t="s">
        <v>120</v>
      </c>
      <c r="G79" s="152"/>
      <c r="H79" s="152"/>
      <c r="I79" s="152"/>
      <c r="J79" s="152"/>
      <c r="K79" s="152"/>
      <c r="L79" s="152"/>
      <c r="M79" s="152"/>
      <c r="N79" s="152"/>
      <c r="O79" s="152"/>
      <c r="P79" s="152"/>
      <c r="Q79" s="152"/>
      <c r="R79" s="152"/>
      <c r="S79" s="152"/>
      <c r="T79" s="152"/>
      <c r="U79" s="152"/>
      <c r="V79" s="153"/>
      <c r="W79" s="153"/>
      <c r="X79" s="153"/>
      <c r="Y79" s="153"/>
      <c r="Z79" s="153"/>
      <c r="AA79" s="153"/>
      <c r="AB79" s="153"/>
      <c r="AC79" s="153"/>
      <c r="AD79" s="355" t="s">
        <v>133</v>
      </c>
      <c r="AE79" s="356"/>
      <c r="AF79" s="357"/>
      <c r="AG79" s="355"/>
      <c r="AH79" s="356"/>
      <c r="AI79" s="357"/>
      <c r="AJ79" s="358"/>
      <c r="AK79" s="359"/>
      <c r="AL79" s="359"/>
      <c r="AM79" s="359"/>
      <c r="AN79" s="359"/>
      <c r="AO79" s="359"/>
      <c r="AP79" s="359"/>
      <c r="AQ79" s="359"/>
      <c r="AR79" s="359"/>
      <c r="AS79" s="359"/>
      <c r="AT79" s="360"/>
      <c r="AU79" s="14"/>
    </row>
    <row r="80" spans="1:47" ht="38" customHeight="1" x14ac:dyDescent="0.35">
      <c r="A80" s="13"/>
      <c r="B80" s="149">
        <v>9</v>
      </c>
      <c r="C80" s="150"/>
      <c r="D80" s="150"/>
      <c r="E80" s="151"/>
      <c r="F80" s="152" t="s">
        <v>121</v>
      </c>
      <c r="G80" s="152"/>
      <c r="H80" s="152"/>
      <c r="I80" s="152"/>
      <c r="J80" s="152"/>
      <c r="K80" s="152"/>
      <c r="L80" s="152"/>
      <c r="M80" s="152"/>
      <c r="N80" s="152"/>
      <c r="O80" s="152"/>
      <c r="P80" s="152"/>
      <c r="Q80" s="152"/>
      <c r="R80" s="152"/>
      <c r="S80" s="152"/>
      <c r="T80" s="152"/>
      <c r="U80" s="152"/>
      <c r="V80" s="153"/>
      <c r="W80" s="153"/>
      <c r="X80" s="153"/>
      <c r="Y80" s="153"/>
      <c r="Z80" s="153"/>
      <c r="AA80" s="153" t="s">
        <v>133</v>
      </c>
      <c r="AB80" s="153"/>
      <c r="AC80" s="153"/>
      <c r="AD80" s="355"/>
      <c r="AE80" s="356"/>
      <c r="AF80" s="357"/>
      <c r="AG80" s="355"/>
      <c r="AH80" s="356"/>
      <c r="AI80" s="357"/>
      <c r="AJ80" s="361" t="s">
        <v>135</v>
      </c>
      <c r="AK80" s="362"/>
      <c r="AL80" s="362"/>
      <c r="AM80" s="362"/>
      <c r="AN80" s="362"/>
      <c r="AO80" s="362"/>
      <c r="AP80" s="362"/>
      <c r="AQ80" s="362"/>
      <c r="AR80" s="362"/>
      <c r="AS80" s="362"/>
      <c r="AT80" s="363"/>
      <c r="AU80" s="14"/>
    </row>
    <row r="81" spans="1:47" ht="26" customHeight="1" x14ac:dyDescent="0.35">
      <c r="A81" s="13"/>
      <c r="B81" s="149">
        <v>10</v>
      </c>
      <c r="C81" s="150"/>
      <c r="D81" s="150"/>
      <c r="E81" s="151"/>
      <c r="F81" s="152" t="s">
        <v>122</v>
      </c>
      <c r="G81" s="152"/>
      <c r="H81" s="152"/>
      <c r="I81" s="152"/>
      <c r="J81" s="152"/>
      <c r="K81" s="152"/>
      <c r="L81" s="152"/>
      <c r="M81" s="152"/>
      <c r="N81" s="152"/>
      <c r="O81" s="152"/>
      <c r="P81" s="152"/>
      <c r="Q81" s="152"/>
      <c r="R81" s="152"/>
      <c r="S81" s="152"/>
      <c r="T81" s="152"/>
      <c r="U81" s="152"/>
      <c r="V81" s="153"/>
      <c r="W81" s="153"/>
      <c r="X81" s="153"/>
      <c r="Y81" s="153"/>
      <c r="Z81" s="153"/>
      <c r="AA81" s="153" t="s">
        <v>133</v>
      </c>
      <c r="AB81" s="153"/>
      <c r="AC81" s="153"/>
      <c r="AD81" s="355"/>
      <c r="AE81" s="356"/>
      <c r="AF81" s="357"/>
      <c r="AG81" s="355"/>
      <c r="AH81" s="356"/>
      <c r="AI81" s="357"/>
      <c r="AJ81" s="361" t="s">
        <v>135</v>
      </c>
      <c r="AK81" s="362"/>
      <c r="AL81" s="362"/>
      <c r="AM81" s="362"/>
      <c r="AN81" s="362"/>
      <c r="AO81" s="362"/>
      <c r="AP81" s="362"/>
      <c r="AQ81" s="362"/>
      <c r="AR81" s="362"/>
      <c r="AS81" s="362"/>
      <c r="AT81" s="363"/>
      <c r="AU81" s="14"/>
    </row>
    <row r="82" spans="1:47" ht="41.5" customHeight="1" x14ac:dyDescent="0.35">
      <c r="A82" s="13"/>
      <c r="B82" s="149">
        <v>11</v>
      </c>
      <c r="C82" s="150"/>
      <c r="D82" s="150"/>
      <c r="E82" s="151"/>
      <c r="F82" s="152" t="s">
        <v>123</v>
      </c>
      <c r="G82" s="152"/>
      <c r="H82" s="152"/>
      <c r="I82" s="152"/>
      <c r="J82" s="152"/>
      <c r="K82" s="152"/>
      <c r="L82" s="152"/>
      <c r="M82" s="152"/>
      <c r="N82" s="152"/>
      <c r="O82" s="152"/>
      <c r="P82" s="152"/>
      <c r="Q82" s="152"/>
      <c r="R82" s="152"/>
      <c r="S82" s="152"/>
      <c r="T82" s="152"/>
      <c r="U82" s="152"/>
      <c r="V82" s="153"/>
      <c r="W82" s="153"/>
      <c r="X82" s="153"/>
      <c r="Y82" s="153"/>
      <c r="Z82" s="153"/>
      <c r="AA82" s="153" t="s">
        <v>133</v>
      </c>
      <c r="AB82" s="153"/>
      <c r="AC82" s="153"/>
      <c r="AD82" s="355"/>
      <c r="AE82" s="356"/>
      <c r="AF82" s="357"/>
      <c r="AG82" s="355"/>
      <c r="AH82" s="356"/>
      <c r="AI82" s="357"/>
      <c r="AJ82" s="361" t="s">
        <v>135</v>
      </c>
      <c r="AK82" s="362"/>
      <c r="AL82" s="362"/>
      <c r="AM82" s="362"/>
      <c r="AN82" s="362"/>
      <c r="AO82" s="362"/>
      <c r="AP82" s="362"/>
      <c r="AQ82" s="362"/>
      <c r="AR82" s="362"/>
      <c r="AS82" s="362"/>
      <c r="AT82" s="363"/>
      <c r="AU82" s="14"/>
    </row>
    <row r="83" spans="1:47" ht="27" customHeight="1" x14ac:dyDescent="0.35">
      <c r="A83" s="13"/>
      <c r="B83" s="149">
        <v>12</v>
      </c>
      <c r="C83" s="150"/>
      <c r="D83" s="150"/>
      <c r="E83" s="151"/>
      <c r="F83" s="152" t="s">
        <v>124</v>
      </c>
      <c r="G83" s="152"/>
      <c r="H83" s="152"/>
      <c r="I83" s="152"/>
      <c r="J83" s="152"/>
      <c r="K83" s="152"/>
      <c r="L83" s="152"/>
      <c r="M83" s="152"/>
      <c r="N83" s="152"/>
      <c r="O83" s="152"/>
      <c r="P83" s="152"/>
      <c r="Q83" s="152"/>
      <c r="R83" s="152"/>
      <c r="S83" s="152"/>
      <c r="T83" s="152"/>
      <c r="U83" s="152"/>
      <c r="V83" s="153"/>
      <c r="W83" s="153"/>
      <c r="X83" s="153"/>
      <c r="Y83" s="153"/>
      <c r="Z83" s="153"/>
      <c r="AA83" s="153"/>
      <c r="AB83" s="153"/>
      <c r="AC83" s="153"/>
      <c r="AD83" s="355" t="s">
        <v>133</v>
      </c>
      <c r="AE83" s="356"/>
      <c r="AF83" s="357"/>
      <c r="AG83" s="355"/>
      <c r="AH83" s="356"/>
      <c r="AI83" s="357"/>
      <c r="AJ83" s="358"/>
      <c r="AK83" s="359"/>
      <c r="AL83" s="359"/>
      <c r="AM83" s="359"/>
      <c r="AN83" s="359"/>
      <c r="AO83" s="359"/>
      <c r="AP83" s="359"/>
      <c r="AQ83" s="359"/>
      <c r="AR83" s="359"/>
      <c r="AS83" s="359"/>
      <c r="AT83" s="360"/>
      <c r="AU83" s="14"/>
    </row>
    <row r="84" spans="1:47" ht="27" customHeight="1" x14ac:dyDescent="0.35">
      <c r="A84" s="13"/>
      <c r="B84" s="149">
        <v>13</v>
      </c>
      <c r="C84" s="150"/>
      <c r="D84" s="150"/>
      <c r="E84" s="151"/>
      <c r="F84" s="152" t="s">
        <v>125</v>
      </c>
      <c r="G84" s="152"/>
      <c r="H84" s="152"/>
      <c r="I84" s="152"/>
      <c r="J84" s="152"/>
      <c r="K84" s="152"/>
      <c r="L84" s="152"/>
      <c r="M84" s="152"/>
      <c r="N84" s="152"/>
      <c r="O84" s="152"/>
      <c r="P84" s="152"/>
      <c r="Q84" s="152"/>
      <c r="R84" s="152"/>
      <c r="S84" s="152"/>
      <c r="T84" s="152"/>
      <c r="U84" s="152"/>
      <c r="V84" s="153"/>
      <c r="W84" s="153"/>
      <c r="X84" s="153"/>
      <c r="Y84" s="153"/>
      <c r="Z84" s="153"/>
      <c r="AA84" s="153"/>
      <c r="AB84" s="153"/>
      <c r="AC84" s="153"/>
      <c r="AD84" s="355" t="s">
        <v>133</v>
      </c>
      <c r="AE84" s="356"/>
      <c r="AF84" s="357"/>
      <c r="AG84" s="355"/>
      <c r="AH84" s="356"/>
      <c r="AI84" s="357"/>
      <c r="AJ84" s="358"/>
      <c r="AK84" s="359"/>
      <c r="AL84" s="359"/>
      <c r="AM84" s="359"/>
      <c r="AN84" s="359"/>
      <c r="AO84" s="359"/>
      <c r="AP84" s="359"/>
      <c r="AQ84" s="359"/>
      <c r="AR84" s="359"/>
      <c r="AS84" s="359"/>
      <c r="AT84" s="360"/>
      <c r="AU84" s="14"/>
    </row>
    <row r="85" spans="1:47" ht="45.5" customHeight="1" x14ac:dyDescent="0.35">
      <c r="A85" s="13"/>
      <c r="B85" s="149">
        <v>14</v>
      </c>
      <c r="C85" s="150"/>
      <c r="D85" s="150"/>
      <c r="E85" s="151"/>
      <c r="F85" s="152" t="s">
        <v>126</v>
      </c>
      <c r="G85" s="152"/>
      <c r="H85" s="152"/>
      <c r="I85" s="152"/>
      <c r="J85" s="152"/>
      <c r="K85" s="152"/>
      <c r="L85" s="152"/>
      <c r="M85" s="152"/>
      <c r="N85" s="152"/>
      <c r="O85" s="152"/>
      <c r="P85" s="152"/>
      <c r="Q85" s="152"/>
      <c r="R85" s="152"/>
      <c r="S85" s="152"/>
      <c r="T85" s="152"/>
      <c r="U85" s="152"/>
      <c r="V85" s="153"/>
      <c r="W85" s="153"/>
      <c r="X85" s="153"/>
      <c r="Y85" s="153"/>
      <c r="Z85" s="153"/>
      <c r="AA85" s="153"/>
      <c r="AB85" s="153"/>
      <c r="AC85" s="153"/>
      <c r="AD85" s="355" t="s">
        <v>133</v>
      </c>
      <c r="AE85" s="356"/>
      <c r="AF85" s="357"/>
      <c r="AG85" s="355"/>
      <c r="AH85" s="356"/>
      <c r="AI85" s="357"/>
      <c r="AJ85" s="358"/>
      <c r="AK85" s="359"/>
      <c r="AL85" s="359"/>
      <c r="AM85" s="359"/>
      <c r="AN85" s="359"/>
      <c r="AO85" s="359"/>
      <c r="AP85" s="359"/>
      <c r="AQ85" s="359"/>
      <c r="AR85" s="359"/>
      <c r="AS85" s="359"/>
      <c r="AT85" s="360"/>
      <c r="AU85" s="14"/>
    </row>
    <row r="86" spans="1:47" ht="27" customHeight="1" x14ac:dyDescent="0.35">
      <c r="A86" s="13"/>
      <c r="B86" s="149">
        <v>15</v>
      </c>
      <c r="C86" s="150"/>
      <c r="D86" s="150"/>
      <c r="E86" s="151"/>
      <c r="F86" s="152" t="s">
        <v>127</v>
      </c>
      <c r="G86" s="152"/>
      <c r="H86" s="152"/>
      <c r="I86" s="152"/>
      <c r="J86" s="152"/>
      <c r="K86" s="152"/>
      <c r="L86" s="152"/>
      <c r="M86" s="152"/>
      <c r="N86" s="152"/>
      <c r="O86" s="152"/>
      <c r="P86" s="152"/>
      <c r="Q86" s="152"/>
      <c r="R86" s="152"/>
      <c r="S86" s="152"/>
      <c r="T86" s="152"/>
      <c r="U86" s="152"/>
      <c r="V86" s="153"/>
      <c r="W86" s="153"/>
      <c r="X86" s="153"/>
      <c r="Y86" s="153"/>
      <c r="Z86" s="153"/>
      <c r="AA86" s="153"/>
      <c r="AB86" s="153"/>
      <c r="AC86" s="153"/>
      <c r="AD86" s="355" t="s">
        <v>133</v>
      </c>
      <c r="AE86" s="356"/>
      <c r="AF86" s="357"/>
      <c r="AG86" s="355"/>
      <c r="AH86" s="356"/>
      <c r="AI86" s="357"/>
      <c r="AJ86" s="358"/>
      <c r="AK86" s="359"/>
      <c r="AL86" s="359"/>
      <c r="AM86" s="359"/>
      <c r="AN86" s="359"/>
      <c r="AO86" s="359"/>
      <c r="AP86" s="359"/>
      <c r="AQ86" s="359"/>
      <c r="AR86" s="359"/>
      <c r="AS86" s="359"/>
      <c r="AT86" s="360"/>
      <c r="AU86" s="14"/>
    </row>
    <row r="87" spans="1:47" ht="27" customHeight="1" x14ac:dyDescent="0.35">
      <c r="A87" s="13"/>
      <c r="B87" s="149">
        <v>16</v>
      </c>
      <c r="C87" s="150"/>
      <c r="D87" s="150"/>
      <c r="E87" s="151"/>
      <c r="F87" s="152" t="s">
        <v>128</v>
      </c>
      <c r="G87" s="152"/>
      <c r="H87" s="152"/>
      <c r="I87" s="152"/>
      <c r="J87" s="152"/>
      <c r="K87" s="152"/>
      <c r="L87" s="152"/>
      <c r="M87" s="152"/>
      <c r="N87" s="152"/>
      <c r="O87" s="152"/>
      <c r="P87" s="152"/>
      <c r="Q87" s="152"/>
      <c r="R87" s="152"/>
      <c r="S87" s="152"/>
      <c r="T87" s="152"/>
      <c r="U87" s="152"/>
      <c r="V87" s="153"/>
      <c r="W87" s="153"/>
      <c r="X87" s="153"/>
      <c r="Y87" s="153"/>
      <c r="Z87" s="153"/>
      <c r="AA87" s="153"/>
      <c r="AB87" s="153"/>
      <c r="AC87" s="153"/>
      <c r="AD87" s="355" t="s">
        <v>133</v>
      </c>
      <c r="AE87" s="356"/>
      <c r="AF87" s="357"/>
      <c r="AG87" s="355"/>
      <c r="AH87" s="356"/>
      <c r="AI87" s="357"/>
      <c r="AJ87" s="358"/>
      <c r="AK87" s="359"/>
      <c r="AL87" s="359"/>
      <c r="AM87" s="359"/>
      <c r="AN87" s="359"/>
      <c r="AO87" s="359"/>
      <c r="AP87" s="359"/>
      <c r="AQ87" s="359"/>
      <c r="AR87" s="359"/>
      <c r="AS87" s="359"/>
      <c r="AT87" s="360"/>
      <c r="AU87" s="14"/>
    </row>
    <row r="88" spans="1:47" ht="27" customHeight="1" x14ac:dyDescent="0.35">
      <c r="A88" s="13"/>
      <c r="B88" s="149">
        <v>17</v>
      </c>
      <c r="C88" s="150"/>
      <c r="D88" s="150"/>
      <c r="E88" s="151"/>
      <c r="F88" s="152" t="s">
        <v>129</v>
      </c>
      <c r="G88" s="152"/>
      <c r="H88" s="152"/>
      <c r="I88" s="152"/>
      <c r="J88" s="152"/>
      <c r="K88" s="152"/>
      <c r="L88" s="152"/>
      <c r="M88" s="152"/>
      <c r="N88" s="152"/>
      <c r="O88" s="152"/>
      <c r="P88" s="152"/>
      <c r="Q88" s="152"/>
      <c r="R88" s="152"/>
      <c r="S88" s="152"/>
      <c r="T88" s="152"/>
      <c r="U88" s="152"/>
      <c r="V88" s="153" t="s">
        <v>133</v>
      </c>
      <c r="W88" s="153"/>
      <c r="X88" s="153"/>
      <c r="Y88" s="153"/>
      <c r="Z88" s="153"/>
      <c r="AA88" s="153"/>
      <c r="AB88" s="153"/>
      <c r="AC88" s="153"/>
      <c r="AD88" s="355"/>
      <c r="AE88" s="356"/>
      <c r="AF88" s="357"/>
      <c r="AG88" s="355"/>
      <c r="AH88" s="356"/>
      <c r="AI88" s="357"/>
      <c r="AJ88" s="361" t="s">
        <v>135</v>
      </c>
      <c r="AK88" s="362"/>
      <c r="AL88" s="362"/>
      <c r="AM88" s="362"/>
      <c r="AN88" s="362"/>
      <c r="AO88" s="362"/>
      <c r="AP88" s="362"/>
      <c r="AQ88" s="362"/>
      <c r="AR88" s="362"/>
      <c r="AS88" s="362"/>
      <c r="AT88" s="363"/>
      <c r="AU88" s="14"/>
    </row>
    <row r="89" spans="1:47" ht="27" customHeight="1" x14ac:dyDescent="0.35">
      <c r="A89" s="13"/>
      <c r="B89" s="149">
        <v>18</v>
      </c>
      <c r="C89" s="150"/>
      <c r="D89" s="150"/>
      <c r="E89" s="151"/>
      <c r="F89" s="152" t="s">
        <v>130</v>
      </c>
      <c r="G89" s="152"/>
      <c r="H89" s="152"/>
      <c r="I89" s="152"/>
      <c r="J89" s="152"/>
      <c r="K89" s="152"/>
      <c r="L89" s="152"/>
      <c r="M89" s="152"/>
      <c r="N89" s="152"/>
      <c r="O89" s="152"/>
      <c r="P89" s="152"/>
      <c r="Q89" s="152"/>
      <c r="R89" s="152"/>
      <c r="S89" s="152"/>
      <c r="T89" s="152"/>
      <c r="U89" s="152"/>
      <c r="V89" s="153"/>
      <c r="W89" s="153"/>
      <c r="X89" s="153"/>
      <c r="Y89" s="153"/>
      <c r="Z89" s="153"/>
      <c r="AA89" s="153"/>
      <c r="AB89" s="153"/>
      <c r="AC89" s="153"/>
      <c r="AD89" s="355" t="s">
        <v>133</v>
      </c>
      <c r="AE89" s="356"/>
      <c r="AF89" s="357"/>
      <c r="AG89" s="355"/>
      <c r="AH89" s="356"/>
      <c r="AI89" s="357"/>
      <c r="AJ89" s="358"/>
      <c r="AK89" s="359"/>
      <c r="AL89" s="359"/>
      <c r="AM89" s="359"/>
      <c r="AN89" s="359"/>
      <c r="AO89" s="359"/>
      <c r="AP89" s="359"/>
      <c r="AQ89" s="359"/>
      <c r="AR89" s="359"/>
      <c r="AS89" s="359"/>
      <c r="AT89" s="360"/>
      <c r="AU89" s="14"/>
    </row>
    <row r="90" spans="1:47" ht="24.75" customHeight="1" thickBot="1" x14ac:dyDescent="0.35">
      <c r="A90" s="13"/>
      <c r="B90" s="354" t="s">
        <v>79</v>
      </c>
      <c r="C90" s="354"/>
      <c r="D90" s="354"/>
      <c r="E90" s="354"/>
      <c r="F90" s="354"/>
      <c r="G90" s="354"/>
      <c r="H90" s="354"/>
      <c r="I90" s="354"/>
      <c r="J90" s="354"/>
      <c r="K90" s="354"/>
      <c r="L90" s="354"/>
      <c r="M90" s="354"/>
      <c r="N90" s="354"/>
      <c r="O90" s="354"/>
      <c r="P90" s="354"/>
      <c r="Q90" s="354"/>
      <c r="R90" s="354"/>
      <c r="S90" s="354"/>
      <c r="T90" s="354"/>
      <c r="U90" s="354"/>
      <c r="V90" s="354"/>
      <c r="W90" s="354"/>
      <c r="X90" s="354"/>
      <c r="Y90" s="354"/>
      <c r="Z90" s="354"/>
      <c r="AA90" s="354"/>
      <c r="AB90" s="354"/>
      <c r="AC90" s="354"/>
      <c r="AD90" s="354"/>
      <c r="AE90" s="354"/>
      <c r="AF90" s="354"/>
      <c r="AG90" s="354"/>
      <c r="AH90" s="354"/>
      <c r="AI90" s="354"/>
      <c r="AJ90" s="354"/>
      <c r="AK90" s="354"/>
      <c r="AL90" s="354"/>
      <c r="AM90" s="354"/>
      <c r="AN90" s="354"/>
      <c r="AO90" s="354"/>
      <c r="AP90" s="354"/>
      <c r="AQ90" s="354"/>
      <c r="AR90" s="354"/>
      <c r="AS90" s="354"/>
      <c r="AT90" s="354"/>
      <c r="AU90" s="14"/>
    </row>
    <row r="91" spans="1:47" ht="33.75" customHeight="1" thickBot="1" x14ac:dyDescent="0.4">
      <c r="A91" s="13"/>
      <c r="B91" s="351"/>
      <c r="C91" s="352"/>
      <c r="D91" s="352"/>
      <c r="E91" s="352"/>
      <c r="F91" s="352"/>
      <c r="G91" s="352"/>
      <c r="H91" s="352"/>
      <c r="I91" s="352"/>
      <c r="J91" s="352"/>
      <c r="K91" s="352"/>
      <c r="L91" s="352"/>
      <c r="M91" s="352"/>
      <c r="N91" s="352"/>
      <c r="O91" s="352"/>
      <c r="P91" s="352"/>
      <c r="Q91" s="352"/>
      <c r="R91" s="352"/>
      <c r="S91" s="352"/>
      <c r="T91" s="352"/>
      <c r="U91" s="352"/>
      <c r="V91" s="352"/>
      <c r="W91" s="352"/>
      <c r="X91" s="352"/>
      <c r="Y91" s="352"/>
      <c r="Z91" s="352"/>
      <c r="AA91" s="352"/>
      <c r="AB91" s="352"/>
      <c r="AC91" s="352"/>
      <c r="AD91" s="352"/>
      <c r="AE91" s="352"/>
      <c r="AF91" s="352"/>
      <c r="AG91" s="352"/>
      <c r="AH91" s="352"/>
      <c r="AI91" s="352"/>
      <c r="AJ91" s="352"/>
      <c r="AK91" s="352"/>
      <c r="AL91" s="352"/>
      <c r="AM91" s="352"/>
      <c r="AN91" s="352"/>
      <c r="AO91" s="352"/>
      <c r="AP91" s="352"/>
      <c r="AQ91" s="352"/>
      <c r="AR91" s="352"/>
      <c r="AS91" s="352"/>
      <c r="AT91" s="353"/>
      <c r="AU91" s="14"/>
    </row>
    <row r="92" spans="1:47" ht="9.75" customHeight="1" thickBot="1" x14ac:dyDescent="0.4">
      <c r="A92" s="15"/>
      <c r="B92" s="45"/>
      <c r="C92" s="45"/>
      <c r="D92" s="45"/>
      <c r="E92" s="45"/>
      <c r="F92" s="45"/>
      <c r="G92" s="45"/>
      <c r="H92" s="45"/>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16"/>
    </row>
    <row r="93" spans="1:47" ht="6.75" customHeight="1" x14ac:dyDescent="0.35">
      <c r="A93" s="6"/>
      <c r="B93" s="38"/>
      <c r="C93" s="38"/>
      <c r="D93" s="38"/>
      <c r="E93" s="38"/>
      <c r="F93" s="38"/>
      <c r="G93" s="38"/>
      <c r="H93" s="38"/>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12"/>
    </row>
    <row r="94" spans="1:47" ht="37.5" customHeight="1" x14ac:dyDescent="0.35">
      <c r="A94" s="13"/>
      <c r="B94" s="395" t="s">
        <v>77</v>
      </c>
      <c r="C94" s="395"/>
      <c r="D94" s="395"/>
      <c r="E94" s="395"/>
      <c r="F94" s="395"/>
      <c r="G94" s="395"/>
      <c r="H94" s="395"/>
      <c r="I94" s="395"/>
      <c r="J94" s="395"/>
      <c r="K94" s="395"/>
      <c r="L94" s="395"/>
      <c r="M94" s="395"/>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14"/>
    </row>
    <row r="95" spans="1:47" ht="12.65" customHeight="1" thickBot="1" x14ac:dyDescent="0.4">
      <c r="A95" s="13"/>
      <c r="B95" s="48"/>
      <c r="C95" s="48"/>
      <c r="D95" s="48"/>
      <c r="E95" s="48"/>
      <c r="F95" s="48"/>
      <c r="G95" s="48"/>
      <c r="H95" s="48"/>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14"/>
    </row>
    <row r="96" spans="1:47" ht="12.65" customHeight="1" x14ac:dyDescent="0.35">
      <c r="A96" s="13"/>
      <c r="B96" s="336"/>
      <c r="C96" s="337"/>
      <c r="D96" s="337"/>
      <c r="E96" s="337"/>
      <c r="F96" s="337"/>
      <c r="G96" s="337"/>
      <c r="H96" s="337"/>
      <c r="I96" s="337"/>
      <c r="J96" s="337"/>
      <c r="K96" s="337"/>
      <c r="L96" s="337"/>
      <c r="M96" s="337"/>
      <c r="N96" s="337"/>
      <c r="O96" s="337"/>
      <c r="P96" s="337"/>
      <c r="Q96" s="337"/>
      <c r="R96" s="337"/>
      <c r="S96" s="337"/>
      <c r="T96" s="337"/>
      <c r="U96" s="337"/>
      <c r="V96" s="337"/>
      <c r="W96" s="337"/>
      <c r="X96" s="337"/>
      <c r="Y96" s="337"/>
      <c r="Z96" s="337"/>
      <c r="AA96" s="337"/>
      <c r="AB96" s="337"/>
      <c r="AC96" s="337"/>
      <c r="AD96" s="337"/>
      <c r="AE96" s="337"/>
      <c r="AF96" s="337"/>
      <c r="AG96" s="337"/>
      <c r="AH96" s="337"/>
      <c r="AI96" s="337"/>
      <c r="AJ96" s="337"/>
      <c r="AK96" s="337"/>
      <c r="AL96" s="337"/>
      <c r="AM96" s="337"/>
      <c r="AN96" s="337"/>
      <c r="AO96" s="337"/>
      <c r="AP96" s="337"/>
      <c r="AQ96" s="337"/>
      <c r="AR96" s="337"/>
      <c r="AS96" s="337"/>
      <c r="AT96" s="338"/>
      <c r="AU96" s="14"/>
    </row>
    <row r="97" spans="1:47" ht="12.65" customHeight="1" x14ac:dyDescent="0.35">
      <c r="A97" s="13"/>
      <c r="B97" s="339"/>
      <c r="C97" s="340"/>
      <c r="D97" s="340"/>
      <c r="E97" s="340"/>
      <c r="F97" s="340"/>
      <c r="G97" s="340"/>
      <c r="H97" s="340"/>
      <c r="I97" s="340"/>
      <c r="J97" s="340"/>
      <c r="K97" s="340"/>
      <c r="L97" s="340"/>
      <c r="M97" s="340"/>
      <c r="N97" s="340"/>
      <c r="O97" s="340"/>
      <c r="P97" s="340"/>
      <c r="Q97" s="340"/>
      <c r="R97" s="340"/>
      <c r="S97" s="340"/>
      <c r="T97" s="340"/>
      <c r="U97" s="340"/>
      <c r="V97" s="340"/>
      <c r="W97" s="340"/>
      <c r="X97" s="340"/>
      <c r="Y97" s="340"/>
      <c r="Z97" s="340"/>
      <c r="AA97" s="340"/>
      <c r="AB97" s="340"/>
      <c r="AC97" s="340"/>
      <c r="AD97" s="340"/>
      <c r="AE97" s="340"/>
      <c r="AF97" s="340"/>
      <c r="AG97" s="340"/>
      <c r="AH97" s="340"/>
      <c r="AI97" s="340"/>
      <c r="AJ97" s="340"/>
      <c r="AK97" s="340"/>
      <c r="AL97" s="340"/>
      <c r="AM97" s="340"/>
      <c r="AN97" s="340"/>
      <c r="AO97" s="340"/>
      <c r="AP97" s="340"/>
      <c r="AQ97" s="340"/>
      <c r="AR97" s="340"/>
      <c r="AS97" s="340"/>
      <c r="AT97" s="341"/>
      <c r="AU97" s="14"/>
    </row>
    <row r="98" spans="1:47" ht="12.65" customHeight="1" thickBot="1" x14ac:dyDescent="0.4">
      <c r="A98" s="13"/>
      <c r="B98" s="342"/>
      <c r="C98" s="343"/>
      <c r="D98" s="343"/>
      <c r="E98" s="343"/>
      <c r="F98" s="343"/>
      <c r="G98" s="343"/>
      <c r="H98" s="343"/>
      <c r="I98" s="343"/>
      <c r="J98" s="343"/>
      <c r="K98" s="343"/>
      <c r="L98" s="343"/>
      <c r="M98" s="343"/>
      <c r="N98" s="343"/>
      <c r="O98" s="343"/>
      <c r="P98" s="343"/>
      <c r="Q98" s="343"/>
      <c r="R98" s="343"/>
      <c r="S98" s="343"/>
      <c r="T98" s="343"/>
      <c r="U98" s="343"/>
      <c r="V98" s="343"/>
      <c r="W98" s="343"/>
      <c r="X98" s="343"/>
      <c r="Y98" s="343"/>
      <c r="Z98" s="343"/>
      <c r="AA98" s="343"/>
      <c r="AB98" s="343"/>
      <c r="AC98" s="343"/>
      <c r="AD98" s="343"/>
      <c r="AE98" s="343"/>
      <c r="AF98" s="343"/>
      <c r="AG98" s="343"/>
      <c r="AH98" s="343"/>
      <c r="AI98" s="343"/>
      <c r="AJ98" s="343"/>
      <c r="AK98" s="343"/>
      <c r="AL98" s="343"/>
      <c r="AM98" s="343"/>
      <c r="AN98" s="343"/>
      <c r="AO98" s="343"/>
      <c r="AP98" s="343"/>
      <c r="AQ98" s="343"/>
      <c r="AR98" s="343"/>
      <c r="AS98" s="343"/>
      <c r="AT98" s="344"/>
      <c r="AU98" s="14"/>
    </row>
    <row r="99" spans="1:47" ht="12.65" customHeight="1" x14ac:dyDescent="0.35">
      <c r="A99" s="13"/>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14"/>
    </row>
    <row r="100" spans="1:47" ht="12.65" customHeight="1" x14ac:dyDescent="0.35">
      <c r="A100" s="13"/>
      <c r="B100" s="199" t="s">
        <v>98</v>
      </c>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c r="AG100" s="199"/>
      <c r="AH100" s="199"/>
      <c r="AI100" s="199"/>
      <c r="AJ100" s="199"/>
      <c r="AK100" s="199"/>
      <c r="AL100" s="199"/>
      <c r="AM100" s="199"/>
      <c r="AN100" s="199"/>
      <c r="AO100" s="199"/>
      <c r="AP100" s="199"/>
      <c r="AQ100" s="199"/>
      <c r="AR100" s="199"/>
      <c r="AS100" s="199"/>
      <c r="AT100" s="199"/>
      <c r="AU100" s="14"/>
    </row>
    <row r="101" spans="1:47" ht="12.65" customHeight="1" thickBot="1" x14ac:dyDescent="0.4">
      <c r="A101" s="13"/>
      <c r="B101" s="48"/>
      <c r="C101" s="48"/>
      <c r="D101" s="48"/>
      <c r="E101" s="48"/>
      <c r="F101" s="48"/>
      <c r="G101" s="48"/>
      <c r="H101" s="48"/>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14"/>
    </row>
    <row r="102" spans="1:47" ht="47.25" customHeight="1" thickBot="1" x14ac:dyDescent="0.4">
      <c r="A102" s="13"/>
      <c r="B102" s="351"/>
      <c r="C102" s="352"/>
      <c r="D102" s="352"/>
      <c r="E102" s="352"/>
      <c r="F102" s="352"/>
      <c r="G102" s="352"/>
      <c r="H102" s="352"/>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c r="AI102" s="352"/>
      <c r="AJ102" s="352"/>
      <c r="AK102" s="352"/>
      <c r="AL102" s="352"/>
      <c r="AM102" s="352"/>
      <c r="AN102" s="352"/>
      <c r="AO102" s="352"/>
      <c r="AP102" s="352"/>
      <c r="AQ102" s="352"/>
      <c r="AR102" s="352"/>
      <c r="AS102" s="352"/>
      <c r="AT102" s="353"/>
      <c r="AU102" s="14"/>
    </row>
    <row r="103" spans="1:47" ht="12.65" customHeight="1" x14ac:dyDescent="0.35">
      <c r="A103" s="13"/>
      <c r="B103" s="48"/>
      <c r="C103" s="48"/>
      <c r="D103" s="48"/>
      <c r="E103" s="48"/>
      <c r="F103" s="48"/>
      <c r="G103" s="48"/>
      <c r="H103" s="48"/>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14"/>
    </row>
    <row r="104" spans="1:47" ht="12.65" customHeight="1" x14ac:dyDescent="0.35">
      <c r="A104" s="13"/>
      <c r="B104" s="199" t="s">
        <v>96</v>
      </c>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c r="AA104" s="199"/>
      <c r="AB104" s="199"/>
      <c r="AC104" s="199"/>
      <c r="AD104" s="199"/>
      <c r="AE104" s="199"/>
      <c r="AF104" s="199"/>
      <c r="AG104" s="199"/>
      <c r="AH104" s="199"/>
      <c r="AI104" s="199"/>
      <c r="AJ104" s="199"/>
      <c r="AK104" s="199"/>
      <c r="AL104" s="199"/>
      <c r="AM104" s="199"/>
      <c r="AN104" s="199"/>
      <c r="AO104" s="199"/>
      <c r="AP104" s="199"/>
      <c r="AQ104" s="199"/>
      <c r="AR104" s="199"/>
      <c r="AS104" s="199"/>
      <c r="AT104" s="199"/>
      <c r="AU104" s="14"/>
    </row>
    <row r="105" spans="1:47" ht="12.65" customHeight="1" x14ac:dyDescent="0.35">
      <c r="A105" s="13"/>
      <c r="B105" s="48"/>
      <c r="C105" s="48"/>
      <c r="D105" s="48"/>
      <c r="E105" s="48"/>
      <c r="F105" s="48"/>
      <c r="G105" s="48"/>
      <c r="H105" s="48"/>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14"/>
    </row>
    <row r="106" spans="1:47" ht="12.65" customHeight="1" thickBot="1" x14ac:dyDescent="0.4">
      <c r="A106" s="13"/>
      <c r="B106" s="106" t="s">
        <v>54</v>
      </c>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4"/>
    </row>
    <row r="107" spans="1:47" ht="28.5" customHeight="1" thickBot="1" x14ac:dyDescent="0.4">
      <c r="A107" s="13"/>
      <c r="B107" s="41" t="s">
        <v>21</v>
      </c>
      <c r="C107" s="104" t="s">
        <v>8</v>
      </c>
      <c r="D107" s="104"/>
      <c r="E107" s="104"/>
      <c r="F107" s="104"/>
      <c r="G107" s="104"/>
      <c r="H107" s="104" t="s">
        <v>49</v>
      </c>
      <c r="I107" s="104"/>
      <c r="J107" s="104"/>
      <c r="K107" s="104"/>
      <c r="L107" s="104"/>
      <c r="M107" s="105" t="s">
        <v>48</v>
      </c>
      <c r="N107" s="105"/>
      <c r="O107" s="105"/>
      <c r="P107" s="105" t="s">
        <v>59</v>
      </c>
      <c r="Q107" s="105"/>
      <c r="R107" s="105"/>
      <c r="S107" s="105" t="s">
        <v>50</v>
      </c>
      <c r="T107" s="105"/>
      <c r="U107" s="105"/>
      <c r="V107" s="105" t="s">
        <v>60</v>
      </c>
      <c r="W107" s="105"/>
      <c r="X107" s="104" t="s">
        <v>51</v>
      </c>
      <c r="Y107" s="104"/>
      <c r="Z107" s="104"/>
      <c r="AA107" s="104"/>
      <c r="AB107" s="104"/>
      <c r="AC107" s="104"/>
      <c r="AD107" s="104"/>
      <c r="AE107" s="104"/>
      <c r="AF107" s="104"/>
      <c r="AG107" s="104"/>
      <c r="AH107" s="104"/>
      <c r="AI107" s="104"/>
      <c r="AJ107" s="104"/>
      <c r="AK107" s="104"/>
      <c r="AL107" s="104"/>
      <c r="AM107" s="104"/>
      <c r="AN107" s="104" t="s">
        <v>11</v>
      </c>
      <c r="AO107" s="104"/>
      <c r="AP107" s="104"/>
      <c r="AQ107" s="104"/>
      <c r="AR107" s="104"/>
      <c r="AS107" s="104"/>
      <c r="AT107" s="396"/>
      <c r="AU107" s="14"/>
    </row>
    <row r="108" spans="1:47" ht="51" customHeight="1" x14ac:dyDescent="0.35">
      <c r="A108" s="13"/>
      <c r="B108" s="54">
        <v>1</v>
      </c>
      <c r="C108" s="375">
        <v>45975</v>
      </c>
      <c r="D108" s="375"/>
      <c r="E108" s="375"/>
      <c r="F108" s="375"/>
      <c r="G108" s="375"/>
      <c r="H108" s="107" t="s">
        <v>131</v>
      </c>
      <c r="I108" s="107"/>
      <c r="J108" s="107"/>
      <c r="K108" s="107"/>
      <c r="L108" s="107"/>
      <c r="M108" s="107">
        <v>27254</v>
      </c>
      <c r="N108" s="107"/>
      <c r="O108" s="107"/>
      <c r="P108" s="107">
        <v>25327</v>
      </c>
      <c r="Q108" s="107"/>
      <c r="R108" s="107"/>
      <c r="S108" s="107">
        <v>11103</v>
      </c>
      <c r="T108" s="107"/>
      <c r="U108" s="107"/>
      <c r="V108" s="107">
        <v>9646</v>
      </c>
      <c r="W108" s="107"/>
      <c r="X108" s="377" t="s">
        <v>132</v>
      </c>
      <c r="Y108" s="377"/>
      <c r="Z108" s="377"/>
      <c r="AA108" s="377"/>
      <c r="AB108" s="377"/>
      <c r="AC108" s="377"/>
      <c r="AD108" s="377"/>
      <c r="AE108" s="377"/>
      <c r="AF108" s="377"/>
      <c r="AG108" s="377"/>
      <c r="AH108" s="377"/>
      <c r="AI108" s="377"/>
      <c r="AJ108" s="377"/>
      <c r="AK108" s="377"/>
      <c r="AL108" s="377"/>
      <c r="AM108" s="377"/>
      <c r="AN108" s="367">
        <v>27331418.760000002</v>
      </c>
      <c r="AO108" s="367"/>
      <c r="AP108" s="367"/>
      <c r="AQ108" s="367"/>
      <c r="AR108" s="367"/>
      <c r="AS108" s="367"/>
      <c r="AT108" s="368"/>
      <c r="AU108" s="14"/>
    </row>
    <row r="109" spans="1:47" ht="13" x14ac:dyDescent="0.35">
      <c r="A109" s="13"/>
      <c r="B109" s="39">
        <v>2</v>
      </c>
      <c r="C109" s="108"/>
      <c r="D109" s="108"/>
      <c r="E109" s="108"/>
      <c r="F109" s="108"/>
      <c r="G109" s="108"/>
      <c r="H109" s="108"/>
      <c r="I109" s="108"/>
      <c r="J109" s="108"/>
      <c r="K109" s="108"/>
      <c r="L109" s="108"/>
      <c r="M109" s="107"/>
      <c r="N109" s="107"/>
      <c r="O109" s="107"/>
      <c r="P109" s="107"/>
      <c r="Q109" s="107"/>
      <c r="R109" s="107"/>
      <c r="S109" s="107"/>
      <c r="T109" s="107"/>
      <c r="U109" s="107"/>
      <c r="V109" s="107"/>
      <c r="W109" s="107"/>
      <c r="X109" s="108"/>
      <c r="Y109" s="108"/>
      <c r="Z109" s="108"/>
      <c r="AA109" s="108"/>
      <c r="AB109" s="108"/>
      <c r="AC109" s="108"/>
      <c r="AD109" s="108"/>
      <c r="AE109" s="108"/>
      <c r="AF109" s="108"/>
      <c r="AG109" s="108"/>
      <c r="AH109" s="108"/>
      <c r="AI109" s="108"/>
      <c r="AJ109" s="108"/>
      <c r="AK109" s="108"/>
      <c r="AL109" s="108"/>
      <c r="AM109" s="108"/>
      <c r="AN109" s="193"/>
      <c r="AO109" s="193"/>
      <c r="AP109" s="193"/>
      <c r="AQ109" s="193"/>
      <c r="AR109" s="193"/>
      <c r="AS109" s="193"/>
      <c r="AT109" s="194"/>
      <c r="AU109" s="14"/>
    </row>
    <row r="110" spans="1:47" ht="13" x14ac:dyDescent="0.35">
      <c r="A110" s="13"/>
      <c r="B110" s="39">
        <v>3</v>
      </c>
      <c r="C110" s="108"/>
      <c r="D110" s="108"/>
      <c r="E110" s="108"/>
      <c r="F110" s="108"/>
      <c r="G110" s="108"/>
      <c r="H110" s="108"/>
      <c r="I110" s="108"/>
      <c r="J110" s="108"/>
      <c r="K110" s="108"/>
      <c r="L110" s="108"/>
      <c r="M110" s="107"/>
      <c r="N110" s="107"/>
      <c r="O110" s="107"/>
      <c r="P110" s="107"/>
      <c r="Q110" s="107"/>
      <c r="R110" s="107"/>
      <c r="S110" s="107"/>
      <c r="T110" s="107"/>
      <c r="U110" s="107"/>
      <c r="V110" s="107"/>
      <c r="W110" s="107"/>
      <c r="X110" s="108"/>
      <c r="Y110" s="108"/>
      <c r="Z110" s="108"/>
      <c r="AA110" s="108"/>
      <c r="AB110" s="108"/>
      <c r="AC110" s="108"/>
      <c r="AD110" s="108"/>
      <c r="AE110" s="108"/>
      <c r="AF110" s="108"/>
      <c r="AG110" s="108"/>
      <c r="AH110" s="108"/>
      <c r="AI110" s="108"/>
      <c r="AJ110" s="108"/>
      <c r="AK110" s="108"/>
      <c r="AL110" s="108"/>
      <c r="AM110" s="108"/>
      <c r="AN110" s="193"/>
      <c r="AO110" s="193"/>
      <c r="AP110" s="193"/>
      <c r="AQ110" s="193"/>
      <c r="AR110" s="193"/>
      <c r="AS110" s="193"/>
      <c r="AT110" s="194"/>
      <c r="AU110" s="14"/>
    </row>
    <row r="111" spans="1:47" ht="12.65" customHeight="1" x14ac:dyDescent="0.35">
      <c r="A111" s="13"/>
      <c r="B111" s="39">
        <v>4</v>
      </c>
      <c r="C111" s="108"/>
      <c r="D111" s="108"/>
      <c r="E111" s="108"/>
      <c r="F111" s="108"/>
      <c r="G111" s="108"/>
      <c r="H111" s="108"/>
      <c r="I111" s="108"/>
      <c r="J111" s="108"/>
      <c r="K111" s="108"/>
      <c r="L111" s="108"/>
      <c r="M111" s="107"/>
      <c r="N111" s="107"/>
      <c r="O111" s="107"/>
      <c r="P111" s="107"/>
      <c r="Q111" s="107"/>
      <c r="R111" s="107"/>
      <c r="S111" s="107"/>
      <c r="T111" s="107"/>
      <c r="U111" s="107"/>
      <c r="V111" s="107"/>
      <c r="W111" s="107"/>
      <c r="X111" s="108"/>
      <c r="Y111" s="108"/>
      <c r="Z111" s="108"/>
      <c r="AA111" s="108"/>
      <c r="AB111" s="108"/>
      <c r="AC111" s="108"/>
      <c r="AD111" s="108"/>
      <c r="AE111" s="108"/>
      <c r="AF111" s="108"/>
      <c r="AG111" s="108"/>
      <c r="AH111" s="108"/>
      <c r="AI111" s="108"/>
      <c r="AJ111" s="108"/>
      <c r="AK111" s="108"/>
      <c r="AL111" s="108"/>
      <c r="AM111" s="108"/>
      <c r="AN111" s="193"/>
      <c r="AO111" s="193"/>
      <c r="AP111" s="193"/>
      <c r="AQ111" s="193"/>
      <c r="AR111" s="193"/>
      <c r="AS111" s="193"/>
      <c r="AT111" s="194"/>
      <c r="AU111" s="14"/>
    </row>
    <row r="112" spans="1:47" ht="12.65" customHeight="1" thickBot="1" x14ac:dyDescent="0.4">
      <c r="A112" s="13"/>
      <c r="B112" s="40">
        <v>5</v>
      </c>
      <c r="C112" s="372"/>
      <c r="D112" s="372"/>
      <c r="E112" s="372"/>
      <c r="F112" s="372"/>
      <c r="G112" s="372"/>
      <c r="H112" s="372"/>
      <c r="I112" s="372"/>
      <c r="J112" s="372"/>
      <c r="K112" s="372"/>
      <c r="L112" s="372"/>
      <c r="M112" s="373"/>
      <c r="N112" s="373"/>
      <c r="O112" s="373"/>
      <c r="P112" s="373"/>
      <c r="Q112" s="373"/>
      <c r="R112" s="373"/>
      <c r="S112" s="373"/>
      <c r="T112" s="373"/>
      <c r="U112" s="373"/>
      <c r="V112" s="373"/>
      <c r="W112" s="373"/>
      <c r="X112" s="372"/>
      <c r="Y112" s="372"/>
      <c r="Z112" s="372"/>
      <c r="AA112" s="372"/>
      <c r="AB112" s="372"/>
      <c r="AC112" s="372"/>
      <c r="AD112" s="372"/>
      <c r="AE112" s="372"/>
      <c r="AF112" s="372"/>
      <c r="AG112" s="372"/>
      <c r="AH112" s="372"/>
      <c r="AI112" s="372"/>
      <c r="AJ112" s="372"/>
      <c r="AK112" s="372"/>
      <c r="AL112" s="372"/>
      <c r="AM112" s="372"/>
      <c r="AN112" s="200"/>
      <c r="AO112" s="200"/>
      <c r="AP112" s="200"/>
      <c r="AQ112" s="200"/>
      <c r="AR112" s="200"/>
      <c r="AS112" s="200"/>
      <c r="AT112" s="201"/>
      <c r="AU112" s="14"/>
    </row>
    <row r="113" spans="1:52" ht="12.65" customHeight="1" thickBot="1" x14ac:dyDescent="0.4">
      <c r="A113" s="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4" t="s">
        <v>52</v>
      </c>
      <c r="AN113" s="369">
        <f>SUM(AN108:AT112)</f>
        <v>27331418.760000002</v>
      </c>
      <c r="AO113" s="370"/>
      <c r="AP113" s="370"/>
      <c r="AQ113" s="370"/>
      <c r="AR113" s="370"/>
      <c r="AS113" s="370"/>
      <c r="AT113" s="371"/>
      <c r="AU113" s="14"/>
    </row>
    <row r="114" spans="1:52" ht="12.65" customHeight="1" x14ac:dyDescent="0.35">
      <c r="A114" s="1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374"/>
      <c r="AI114" s="374"/>
      <c r="AJ114" s="374"/>
      <c r="AK114" s="374"/>
      <c r="AL114" s="374"/>
      <c r="AM114" s="374"/>
      <c r="AN114" s="374"/>
      <c r="AO114" s="374"/>
      <c r="AP114" s="374"/>
      <c r="AQ114" s="374"/>
      <c r="AR114" s="374"/>
      <c r="AS114" s="374"/>
      <c r="AT114" s="374"/>
      <c r="AU114" s="14"/>
    </row>
    <row r="115" spans="1:52" ht="12.65" customHeight="1" x14ac:dyDescent="0.35">
      <c r="A115" s="1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374"/>
      <c r="AI115" s="374"/>
      <c r="AJ115" s="374"/>
      <c r="AK115" s="374"/>
      <c r="AL115" s="374"/>
      <c r="AM115" s="374"/>
      <c r="AN115" s="374"/>
      <c r="AO115" s="374"/>
      <c r="AP115" s="374"/>
      <c r="AQ115" s="374"/>
      <c r="AR115" s="374"/>
      <c r="AS115" s="374"/>
      <c r="AT115" s="374"/>
      <c r="AU115" s="14"/>
    </row>
    <row r="116" spans="1:52" ht="12.65" customHeight="1" thickBot="1" x14ac:dyDescent="0.4">
      <c r="A116" s="13"/>
      <c r="B116" s="106" t="s">
        <v>53</v>
      </c>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4"/>
    </row>
    <row r="117" spans="1:52" s="63" customFormat="1" ht="26.25" customHeight="1" thickBot="1" x14ac:dyDescent="0.4">
      <c r="A117" s="59"/>
      <c r="B117" s="93" t="s">
        <v>21</v>
      </c>
      <c r="C117" s="206" t="s">
        <v>8</v>
      </c>
      <c r="D117" s="206"/>
      <c r="E117" s="206"/>
      <c r="F117" s="206"/>
      <c r="G117" s="206"/>
      <c r="H117" s="206" t="s">
        <v>49</v>
      </c>
      <c r="I117" s="206"/>
      <c r="J117" s="206"/>
      <c r="K117" s="206"/>
      <c r="L117" s="206"/>
      <c r="M117" s="382" t="s">
        <v>48</v>
      </c>
      <c r="N117" s="382"/>
      <c r="O117" s="382"/>
      <c r="P117" s="382" t="s">
        <v>59</v>
      </c>
      <c r="Q117" s="382"/>
      <c r="R117" s="382"/>
      <c r="S117" s="382" t="s">
        <v>50</v>
      </c>
      <c r="T117" s="382"/>
      <c r="U117" s="382"/>
      <c r="V117" s="382" t="s">
        <v>60</v>
      </c>
      <c r="W117" s="382"/>
      <c r="X117" s="206" t="s">
        <v>51</v>
      </c>
      <c r="Y117" s="206"/>
      <c r="Z117" s="206"/>
      <c r="AA117" s="206"/>
      <c r="AB117" s="206"/>
      <c r="AC117" s="206"/>
      <c r="AD117" s="206"/>
      <c r="AE117" s="206"/>
      <c r="AF117" s="206"/>
      <c r="AG117" s="206"/>
      <c r="AH117" s="206"/>
      <c r="AI117" s="206"/>
      <c r="AJ117" s="206"/>
      <c r="AK117" s="206"/>
      <c r="AL117" s="206"/>
      <c r="AM117" s="206"/>
      <c r="AN117" s="206" t="s">
        <v>11</v>
      </c>
      <c r="AO117" s="206"/>
      <c r="AP117" s="206"/>
      <c r="AQ117" s="206"/>
      <c r="AR117" s="206"/>
      <c r="AS117" s="206"/>
      <c r="AT117" s="322"/>
      <c r="AU117" s="62"/>
      <c r="AZ117" s="94">
        <f>+AN50</f>
        <v>86531419</v>
      </c>
    </row>
    <row r="118" spans="1:52" s="63" customFormat="1" ht="49.5" customHeight="1" x14ac:dyDescent="0.35">
      <c r="A118" s="59"/>
      <c r="B118" s="95">
        <v>1</v>
      </c>
      <c r="C118" s="178">
        <v>46037</v>
      </c>
      <c r="D118" s="178"/>
      <c r="E118" s="178"/>
      <c r="F118" s="178"/>
      <c r="G118" s="178"/>
      <c r="H118" s="175" t="s">
        <v>139</v>
      </c>
      <c r="I118" s="175"/>
      <c r="J118" s="175"/>
      <c r="K118" s="175"/>
      <c r="L118" s="175"/>
      <c r="M118" s="175">
        <v>27254</v>
      </c>
      <c r="N118" s="175"/>
      <c r="O118" s="175"/>
      <c r="P118" s="175">
        <v>25327</v>
      </c>
      <c r="Q118" s="175"/>
      <c r="R118" s="175"/>
      <c r="S118" s="175">
        <v>11103</v>
      </c>
      <c r="T118" s="175"/>
      <c r="U118" s="175"/>
      <c r="V118" s="175">
        <v>9646</v>
      </c>
      <c r="W118" s="175"/>
      <c r="X118" s="379" t="s">
        <v>140</v>
      </c>
      <c r="Y118" s="379"/>
      <c r="Z118" s="379"/>
      <c r="AA118" s="379"/>
      <c r="AB118" s="379"/>
      <c r="AC118" s="379"/>
      <c r="AD118" s="379"/>
      <c r="AE118" s="379"/>
      <c r="AF118" s="379"/>
      <c r="AG118" s="379"/>
      <c r="AH118" s="379"/>
      <c r="AI118" s="379"/>
      <c r="AJ118" s="379"/>
      <c r="AK118" s="379"/>
      <c r="AL118" s="379"/>
      <c r="AM118" s="379"/>
      <c r="AN118" s="393">
        <v>42000000</v>
      </c>
      <c r="AO118" s="393"/>
      <c r="AP118" s="393"/>
      <c r="AQ118" s="393"/>
      <c r="AR118" s="393"/>
      <c r="AS118" s="393"/>
      <c r="AT118" s="394"/>
      <c r="AU118" s="62"/>
      <c r="AZ118" s="94">
        <v>59200000</v>
      </c>
    </row>
    <row r="119" spans="1:52" s="63" customFormat="1" ht="12.65" customHeight="1" x14ac:dyDescent="0.35">
      <c r="A119" s="59"/>
      <c r="B119" s="61"/>
      <c r="C119" s="96"/>
      <c r="D119" s="96"/>
      <c r="E119" s="96"/>
      <c r="F119" s="96"/>
      <c r="G119" s="96"/>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97"/>
      <c r="AO119" s="97"/>
      <c r="AP119" s="97"/>
      <c r="AQ119" s="97"/>
      <c r="AR119" s="97"/>
      <c r="AS119" s="97"/>
      <c r="AT119" s="97"/>
      <c r="AU119" s="62"/>
      <c r="AZ119" s="94">
        <f>+AZ117-AN113</f>
        <v>59200000.239999995</v>
      </c>
    </row>
    <row r="120" spans="1:52" s="63" customFormat="1" ht="12.65" hidden="1" customHeight="1" x14ac:dyDescent="0.35">
      <c r="A120" s="59"/>
      <c r="B120" s="389" t="s">
        <v>94</v>
      </c>
      <c r="C120" s="389"/>
      <c r="D120" s="389"/>
      <c r="E120" s="389"/>
      <c r="F120" s="389"/>
      <c r="G120" s="389"/>
      <c r="H120" s="389"/>
      <c r="I120" s="389"/>
      <c r="J120" s="389"/>
      <c r="K120" s="389"/>
      <c r="L120" s="389"/>
      <c r="M120" s="389"/>
      <c r="N120" s="389"/>
      <c r="O120" s="389"/>
      <c r="P120" s="389"/>
      <c r="Q120" s="389"/>
      <c r="R120" s="389"/>
      <c r="S120" s="389"/>
      <c r="T120" s="389"/>
      <c r="U120" s="389"/>
      <c r="V120" s="389"/>
      <c r="W120" s="389"/>
      <c r="X120" s="389"/>
      <c r="Y120" s="389"/>
      <c r="Z120" s="389"/>
      <c r="AA120" s="389"/>
      <c r="AB120" s="389"/>
      <c r="AC120" s="389"/>
      <c r="AD120" s="389"/>
      <c r="AE120" s="389"/>
      <c r="AF120" s="389"/>
      <c r="AG120" s="389"/>
      <c r="AH120" s="389"/>
      <c r="AI120" s="389"/>
      <c r="AJ120" s="389"/>
      <c r="AK120" s="389"/>
      <c r="AL120" s="389"/>
      <c r="AM120" s="389"/>
      <c r="AN120" s="389"/>
      <c r="AO120" s="389"/>
      <c r="AP120" s="389"/>
      <c r="AQ120" s="389"/>
      <c r="AR120" s="389"/>
      <c r="AS120" s="389"/>
      <c r="AT120" s="389"/>
      <c r="AU120" s="62"/>
      <c r="AZ120" s="94"/>
    </row>
    <row r="121" spans="1:52" s="63" customFormat="1" ht="12.65" hidden="1" customHeight="1" thickBot="1" x14ac:dyDescent="0.4">
      <c r="A121" s="59"/>
      <c r="B121" s="61"/>
      <c r="C121" s="96"/>
      <c r="D121" s="96"/>
      <c r="E121" s="96"/>
      <c r="F121" s="96"/>
      <c r="G121" s="96"/>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97"/>
      <c r="AO121" s="97"/>
      <c r="AP121" s="97"/>
      <c r="AQ121" s="97"/>
      <c r="AR121" s="97"/>
      <c r="AS121" s="97"/>
      <c r="AT121" s="97"/>
      <c r="AU121" s="62"/>
      <c r="AZ121" s="94"/>
    </row>
    <row r="122" spans="1:52" s="63" customFormat="1" ht="28.5" hidden="1" customHeight="1" thickBot="1" x14ac:dyDescent="0.4">
      <c r="A122" s="59"/>
      <c r="B122" s="390" t="s">
        <v>93</v>
      </c>
      <c r="C122" s="391"/>
      <c r="D122" s="391"/>
      <c r="E122" s="391"/>
      <c r="F122" s="391"/>
      <c r="G122" s="391"/>
      <c r="H122" s="391"/>
      <c r="I122" s="391"/>
      <c r="J122" s="391"/>
      <c r="K122" s="391"/>
      <c r="L122" s="391"/>
      <c r="M122" s="391"/>
      <c r="N122" s="391"/>
      <c r="O122" s="391"/>
      <c r="P122" s="391"/>
      <c r="Q122" s="391"/>
      <c r="R122" s="391"/>
      <c r="S122" s="391"/>
      <c r="T122" s="391"/>
      <c r="U122" s="391"/>
      <c r="V122" s="391"/>
      <c r="W122" s="391"/>
      <c r="X122" s="391"/>
      <c r="Y122" s="391"/>
      <c r="Z122" s="391"/>
      <c r="AA122" s="391"/>
      <c r="AB122" s="391"/>
      <c r="AC122" s="391"/>
      <c r="AD122" s="391"/>
      <c r="AE122" s="391"/>
      <c r="AF122" s="391"/>
      <c r="AG122" s="391"/>
      <c r="AH122" s="391"/>
      <c r="AI122" s="391"/>
      <c r="AJ122" s="391"/>
      <c r="AK122" s="391"/>
      <c r="AL122" s="391"/>
      <c r="AM122" s="391"/>
      <c r="AN122" s="391"/>
      <c r="AO122" s="391"/>
      <c r="AP122" s="391"/>
      <c r="AQ122" s="391"/>
      <c r="AR122" s="391"/>
      <c r="AS122" s="391"/>
      <c r="AT122" s="392"/>
      <c r="AU122" s="62"/>
      <c r="AZ122" s="94"/>
    </row>
    <row r="123" spans="1:52" s="63" customFormat="1" ht="12.65" customHeight="1" thickBot="1" x14ac:dyDescent="0.4">
      <c r="A123" s="59"/>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K123" s="61"/>
      <c r="AL123" s="61"/>
      <c r="AM123" s="98"/>
      <c r="AN123" s="99"/>
      <c r="AO123" s="99"/>
      <c r="AP123" s="99"/>
      <c r="AQ123" s="99"/>
      <c r="AR123" s="99"/>
      <c r="AS123" s="99"/>
      <c r="AT123" s="99"/>
      <c r="AU123" s="62"/>
      <c r="AZ123" s="94"/>
    </row>
    <row r="124" spans="1:52" s="63" customFormat="1" ht="35.25" customHeight="1" thickBot="1" x14ac:dyDescent="0.4">
      <c r="A124" s="59"/>
      <c r="B124" s="100"/>
      <c r="C124" s="60"/>
      <c r="D124" s="60"/>
      <c r="E124" s="60"/>
      <c r="F124" s="60"/>
      <c r="G124" s="60"/>
      <c r="H124" s="101"/>
      <c r="I124" s="381"/>
      <c r="J124" s="381"/>
      <c r="K124" s="381"/>
      <c r="L124" s="381"/>
      <c r="M124" s="381"/>
      <c r="N124" s="381"/>
      <c r="O124" s="61"/>
      <c r="P124" s="61"/>
      <c r="Q124" s="100"/>
      <c r="R124" s="61"/>
      <c r="S124" s="61"/>
      <c r="T124" s="61"/>
      <c r="U124" s="61"/>
      <c r="V124" s="61"/>
      <c r="W124" s="61"/>
      <c r="X124" s="101"/>
      <c r="Y124" s="381"/>
      <c r="Z124" s="381"/>
      <c r="AA124" s="381"/>
      <c r="AB124" s="381"/>
      <c r="AC124" s="381"/>
      <c r="AD124" s="381"/>
      <c r="AE124" s="381"/>
      <c r="AF124" s="100"/>
      <c r="AG124" s="100"/>
      <c r="AH124" s="61"/>
      <c r="AI124" s="61"/>
      <c r="AJ124" s="61"/>
      <c r="AK124" s="61"/>
      <c r="AL124" s="61"/>
      <c r="AM124" s="101" t="s">
        <v>35</v>
      </c>
      <c r="AN124" s="386">
        <f>+J37</f>
        <v>386128219</v>
      </c>
      <c r="AO124" s="387"/>
      <c r="AP124" s="387"/>
      <c r="AQ124" s="387"/>
      <c r="AR124" s="387"/>
      <c r="AS124" s="387"/>
      <c r="AT124" s="388"/>
      <c r="AU124" s="62"/>
      <c r="AZ124" s="94">
        <v>22200000</v>
      </c>
    </row>
    <row r="125" spans="1:52" s="63" customFormat="1" ht="12.65" customHeight="1" thickBot="1" x14ac:dyDescent="0.4">
      <c r="A125" s="59"/>
      <c r="B125" s="60"/>
      <c r="C125" s="60"/>
      <c r="D125" s="60"/>
      <c r="E125" s="60"/>
      <c r="F125" s="60"/>
      <c r="G125" s="60"/>
      <c r="H125" s="60"/>
      <c r="I125" s="61"/>
      <c r="J125" s="61"/>
      <c r="K125" s="61"/>
      <c r="L125" s="61"/>
      <c r="M125" s="61"/>
      <c r="N125" s="61"/>
      <c r="O125" s="61"/>
      <c r="P125" s="61"/>
      <c r="Q125" s="61"/>
      <c r="R125" s="61"/>
      <c r="S125" s="61"/>
      <c r="T125" s="61"/>
      <c r="U125" s="60"/>
      <c r="V125" s="61"/>
      <c r="W125" s="61"/>
      <c r="X125" s="61"/>
      <c r="Y125" s="61"/>
      <c r="Z125" s="61"/>
      <c r="AA125" s="61"/>
      <c r="AB125" s="61"/>
      <c r="AC125" s="61"/>
      <c r="AD125" s="61"/>
      <c r="AE125" s="61"/>
      <c r="AF125" s="100"/>
      <c r="AG125" s="61"/>
      <c r="AH125" s="61"/>
      <c r="AI125" s="61"/>
      <c r="AJ125" s="61"/>
      <c r="AK125" s="61"/>
      <c r="AL125" s="61"/>
      <c r="AM125" s="61"/>
      <c r="AN125" s="61"/>
      <c r="AO125" s="61"/>
      <c r="AP125" s="61"/>
      <c r="AQ125" s="61"/>
      <c r="AR125" s="61"/>
      <c r="AS125" s="61"/>
      <c r="AT125" s="61"/>
      <c r="AU125" s="62"/>
      <c r="AZ125" s="94"/>
    </row>
    <row r="126" spans="1:52" s="63" customFormat="1" ht="12.65" customHeight="1" thickBot="1" x14ac:dyDescent="0.4">
      <c r="A126" s="59"/>
      <c r="B126" s="60"/>
      <c r="V126" s="61"/>
      <c r="W126" s="61"/>
      <c r="Y126" s="64"/>
      <c r="Z126" s="64"/>
      <c r="AA126" s="64"/>
      <c r="AB126" s="64"/>
      <c r="AC126" s="64"/>
      <c r="AD126" s="64"/>
      <c r="AE126" s="64"/>
      <c r="AF126" s="61"/>
      <c r="AG126" s="61"/>
      <c r="AH126" s="61"/>
      <c r="AI126" s="61"/>
      <c r="AJ126" s="61"/>
      <c r="AK126" s="61"/>
      <c r="AL126" s="61"/>
      <c r="AM126" s="101" t="s">
        <v>36</v>
      </c>
      <c r="AN126" s="364">
        <f>+AN113</f>
        <v>27331418.760000002</v>
      </c>
      <c r="AO126" s="365"/>
      <c r="AP126" s="365"/>
      <c r="AQ126" s="365"/>
      <c r="AR126" s="365"/>
      <c r="AS126" s="365"/>
      <c r="AT126" s="366"/>
      <c r="AU126" s="62"/>
      <c r="AZ126" s="94">
        <f>+AZ119-AZ124</f>
        <v>37000000.239999995</v>
      </c>
    </row>
    <row r="127" spans="1:52" s="63" customFormat="1" ht="12.65" customHeight="1" thickBot="1" x14ac:dyDescent="0.4">
      <c r="A127" s="59"/>
      <c r="B127" s="67"/>
      <c r="V127" s="67"/>
      <c r="W127" s="67"/>
      <c r="X127" s="67"/>
      <c r="Y127" s="67"/>
      <c r="Z127" s="67"/>
      <c r="AA127" s="67"/>
      <c r="AB127" s="61"/>
      <c r="AC127" s="61"/>
      <c r="AD127" s="61"/>
      <c r="AE127" s="61"/>
      <c r="AF127" s="61"/>
      <c r="AG127" s="61"/>
      <c r="AH127" s="61"/>
      <c r="AI127" s="61"/>
      <c r="AJ127" s="61"/>
      <c r="AK127" s="61"/>
      <c r="AL127" s="61"/>
      <c r="AM127" s="61"/>
      <c r="AN127" s="61"/>
      <c r="AO127" s="61"/>
      <c r="AP127" s="61"/>
      <c r="AQ127" s="61"/>
      <c r="AR127" s="61"/>
      <c r="AS127" s="61"/>
      <c r="AT127" s="61"/>
      <c r="AU127" s="62"/>
      <c r="AZ127" s="94">
        <v>29600000</v>
      </c>
    </row>
    <row r="128" spans="1:52" s="63" customFormat="1" ht="12.65" customHeight="1" thickBot="1" x14ac:dyDescent="0.4">
      <c r="A128" s="59"/>
      <c r="B128" s="67"/>
      <c r="R128" s="60"/>
      <c r="S128" s="60"/>
      <c r="T128" s="61"/>
      <c r="U128" s="61"/>
      <c r="V128" s="61"/>
      <c r="W128" s="61"/>
      <c r="X128" s="61"/>
      <c r="Y128" s="61"/>
      <c r="Z128" s="61"/>
      <c r="AA128" s="67"/>
      <c r="AB128" s="61"/>
      <c r="AC128" s="61"/>
      <c r="AD128" s="61"/>
      <c r="AE128" s="61"/>
      <c r="AF128" s="61"/>
      <c r="AG128" s="61"/>
      <c r="AH128" s="61"/>
      <c r="AI128" s="61"/>
      <c r="AJ128" s="61"/>
      <c r="AK128" s="61"/>
      <c r="AL128" s="61"/>
      <c r="AM128" s="101" t="s">
        <v>38</v>
      </c>
      <c r="AN128" s="364">
        <f>SUM(AN118:AT118)</f>
        <v>42000000</v>
      </c>
      <c r="AO128" s="365"/>
      <c r="AP128" s="365"/>
      <c r="AQ128" s="365"/>
      <c r="AR128" s="365"/>
      <c r="AS128" s="365"/>
      <c r="AT128" s="366"/>
      <c r="AU128" s="62"/>
      <c r="AZ128" s="94">
        <f>+AZ126-AZ127</f>
        <v>7400000.2399999946</v>
      </c>
    </row>
    <row r="129" spans="1:62" s="63" customFormat="1" ht="12.65" customHeight="1" thickBot="1" x14ac:dyDescent="0.4">
      <c r="A129" s="59"/>
      <c r="B129" s="67"/>
      <c r="AA129" s="67"/>
      <c r="AB129" s="61"/>
      <c r="AC129" s="61"/>
      <c r="AD129" s="61"/>
      <c r="AE129" s="61"/>
      <c r="AF129" s="61"/>
      <c r="AG129" s="61"/>
      <c r="AH129" s="61"/>
      <c r="AI129" s="61"/>
      <c r="AJ129" s="61"/>
      <c r="AK129" s="61"/>
      <c r="AL129" s="61"/>
      <c r="AM129" s="61"/>
      <c r="AN129" s="61"/>
      <c r="AO129" s="61"/>
      <c r="AP129" s="61"/>
      <c r="AQ129" s="71"/>
      <c r="AR129" s="61"/>
      <c r="AS129" s="61"/>
      <c r="AT129" s="61"/>
      <c r="AU129" s="62"/>
      <c r="AZ129" s="102">
        <f>+AZ127+AZ128</f>
        <v>37000000.239999995</v>
      </c>
    </row>
    <row r="130" spans="1:62" s="63" customFormat="1" ht="12.65" customHeight="1" thickBot="1" x14ac:dyDescent="0.4">
      <c r="A130" s="59"/>
      <c r="B130" s="67"/>
      <c r="AA130" s="67"/>
      <c r="AB130" s="61"/>
      <c r="AC130" s="61"/>
      <c r="AD130" s="61"/>
      <c r="AE130" s="61"/>
      <c r="AF130" s="61"/>
      <c r="AG130" s="61"/>
      <c r="AH130" s="61"/>
      <c r="AI130" s="61"/>
      <c r="AJ130" s="61"/>
      <c r="AK130" s="61"/>
      <c r="AL130" s="61"/>
      <c r="AM130" s="101" t="s">
        <v>37</v>
      </c>
      <c r="AN130" s="364">
        <f>AN124-(AN126+AN128)</f>
        <v>316796800.24000001</v>
      </c>
      <c r="AO130" s="365"/>
      <c r="AP130" s="365"/>
      <c r="AQ130" s="365"/>
      <c r="AR130" s="365"/>
      <c r="AS130" s="365"/>
      <c r="AT130" s="366"/>
      <c r="AU130" s="62"/>
      <c r="AZ130" s="103">
        <f>+AN42</f>
        <v>29596800</v>
      </c>
    </row>
    <row r="131" spans="1:62" ht="12.65" customHeight="1" thickBot="1" x14ac:dyDescent="0.4">
      <c r="A131" s="13"/>
      <c r="B131" s="19"/>
      <c r="C131" s="19"/>
      <c r="D131" s="19"/>
      <c r="E131" s="19"/>
      <c r="F131" s="19"/>
      <c r="G131" s="19"/>
      <c r="H131" s="19"/>
      <c r="I131" s="19"/>
      <c r="J131" s="19"/>
      <c r="K131" s="19"/>
      <c r="L131" s="19"/>
      <c r="M131" s="19"/>
      <c r="N131" s="19"/>
      <c r="O131" s="19"/>
      <c r="P131" s="19"/>
      <c r="Q131" s="19"/>
      <c r="R131" s="48"/>
      <c r="S131" s="48"/>
      <c r="T131" s="2"/>
      <c r="U131" s="2"/>
      <c r="V131" s="2"/>
      <c r="W131" s="2"/>
      <c r="X131" s="2"/>
      <c r="Y131" s="2"/>
      <c r="Z131" s="2"/>
      <c r="AA131" s="19"/>
      <c r="AB131" s="2"/>
      <c r="AC131" s="2"/>
      <c r="AD131" s="2"/>
      <c r="AE131" s="2"/>
      <c r="AF131" s="2"/>
      <c r="AG131" s="2"/>
      <c r="AH131" s="2"/>
      <c r="AI131" s="2"/>
      <c r="AJ131" s="2"/>
      <c r="AK131" s="2"/>
      <c r="AL131" s="2"/>
      <c r="AM131" s="2"/>
      <c r="AN131" s="2"/>
      <c r="AO131" s="2"/>
      <c r="AP131" s="2"/>
      <c r="AQ131" s="2"/>
      <c r="AR131" s="2"/>
      <c r="AS131" s="2"/>
      <c r="AT131" s="2"/>
      <c r="AU131" s="14"/>
      <c r="AZ131" s="57">
        <f>+AZ130+AZ129</f>
        <v>66596800.239999995</v>
      </c>
    </row>
    <row r="132" spans="1:62" ht="12.65" customHeight="1" thickBot="1" x14ac:dyDescent="0.4">
      <c r="A132" s="13"/>
      <c r="B132" s="19"/>
      <c r="C132" s="19"/>
      <c r="D132" s="19"/>
      <c r="E132" s="19"/>
      <c r="F132" s="19"/>
      <c r="G132" s="19"/>
      <c r="H132" s="19"/>
      <c r="I132" s="19"/>
      <c r="J132" s="19"/>
      <c r="K132" s="19"/>
      <c r="L132" s="19"/>
      <c r="M132" s="19"/>
      <c r="N132" s="19"/>
      <c r="O132" s="19"/>
      <c r="P132" s="19"/>
      <c r="Q132" s="19"/>
      <c r="AA132" s="51"/>
      <c r="AB132" s="23"/>
      <c r="AC132" s="23"/>
      <c r="AD132" s="23"/>
      <c r="AE132" s="23"/>
      <c r="AF132" s="23"/>
      <c r="AG132" s="23"/>
      <c r="AH132" s="23"/>
      <c r="AI132" s="23"/>
      <c r="AJ132" s="23"/>
      <c r="AK132" s="23"/>
      <c r="AL132" s="23"/>
      <c r="AM132" s="24" t="s">
        <v>78</v>
      </c>
      <c r="AN132" s="383"/>
      <c r="AO132" s="384"/>
      <c r="AP132" s="384"/>
      <c r="AQ132" s="384"/>
      <c r="AR132" s="384"/>
      <c r="AS132" s="384"/>
      <c r="AT132" s="385"/>
      <c r="AU132" s="14"/>
      <c r="AZ132" s="56">
        <v>54000000</v>
      </c>
    </row>
    <row r="133" spans="1:62" ht="26.25" customHeight="1" x14ac:dyDescent="0.35">
      <c r="A133" s="13"/>
      <c r="B133" s="19"/>
      <c r="C133" s="19"/>
      <c r="D133" s="19"/>
      <c r="E133" s="19"/>
      <c r="F133" s="19"/>
      <c r="G133" s="19"/>
      <c r="H133" s="19"/>
      <c r="I133" s="19"/>
      <c r="J133" s="19"/>
      <c r="K133" s="19"/>
      <c r="L133" s="19"/>
      <c r="M133" s="19"/>
      <c r="N133" s="19"/>
      <c r="O133" s="19"/>
      <c r="P133" s="19"/>
      <c r="Q133" s="19"/>
      <c r="AA133" s="376" t="s">
        <v>97</v>
      </c>
      <c r="AB133" s="376"/>
      <c r="AC133" s="376"/>
      <c r="AD133" s="376"/>
      <c r="AE133" s="376"/>
      <c r="AF133" s="376"/>
      <c r="AG133" s="376"/>
      <c r="AH133" s="376"/>
      <c r="AI133" s="376"/>
      <c r="AJ133" s="376"/>
      <c r="AK133" s="376"/>
      <c r="AL133" s="376"/>
      <c r="AM133" s="376"/>
      <c r="AU133" s="14"/>
      <c r="AZ133" s="57">
        <f>+AZ131-AZ132</f>
        <v>12596800.239999995</v>
      </c>
    </row>
    <row r="134" spans="1:62" ht="26.25" customHeight="1" thickBot="1" x14ac:dyDescent="0.35">
      <c r="A134" s="13"/>
      <c r="W134" s="19"/>
      <c r="X134" s="19"/>
      <c r="Y134" s="19"/>
      <c r="Z134" s="19"/>
      <c r="AA134" s="19"/>
      <c r="AB134" s="2"/>
      <c r="AC134" s="2"/>
      <c r="AD134" s="2"/>
      <c r="AE134" s="2"/>
      <c r="AF134" s="2"/>
      <c r="AG134" s="2"/>
      <c r="AH134" s="2"/>
      <c r="AI134" s="2"/>
      <c r="AJ134" s="2"/>
      <c r="AK134" s="2"/>
      <c r="AL134" s="2"/>
      <c r="AM134" s="1"/>
      <c r="AN134" s="378" t="s">
        <v>58</v>
      </c>
      <c r="AO134" s="378"/>
      <c r="AP134" s="378"/>
      <c r="AQ134" s="378"/>
      <c r="AR134" s="378"/>
      <c r="AS134" s="378"/>
      <c r="AT134" s="378"/>
      <c r="AU134" s="14"/>
      <c r="AZ134" s="56">
        <v>29596800</v>
      </c>
    </row>
    <row r="135" spans="1:62" ht="15.75" customHeight="1" x14ac:dyDescent="0.3">
      <c r="A135" s="13"/>
      <c r="B135" s="135" t="s">
        <v>61</v>
      </c>
      <c r="C135" s="135"/>
      <c r="D135" s="135"/>
      <c r="E135" s="135"/>
      <c r="F135" s="135"/>
      <c r="G135" s="135"/>
      <c r="H135" s="135"/>
      <c r="I135" s="135"/>
      <c r="J135" s="135"/>
      <c r="K135" s="135"/>
      <c r="L135" s="380" t="s">
        <v>136</v>
      </c>
      <c r="M135" s="380"/>
      <c r="N135" s="380"/>
      <c r="O135" s="380"/>
      <c r="P135" s="380"/>
      <c r="Q135" s="380"/>
      <c r="R135" s="380"/>
      <c r="S135" s="380"/>
      <c r="T135" s="380"/>
      <c r="U135" s="380"/>
      <c r="V135" s="380"/>
      <c r="W135" s="31"/>
      <c r="X135" s="33" t="s">
        <v>82</v>
      </c>
      <c r="Y135" s="32"/>
      <c r="Z135" s="32"/>
      <c r="AA135" s="32"/>
      <c r="AB135" s="50"/>
      <c r="AC135" s="50"/>
      <c r="AD135" s="50"/>
      <c r="AE135" s="50"/>
      <c r="AF135" s="50"/>
      <c r="AG135" s="50"/>
      <c r="AH135" s="50"/>
      <c r="AI135" s="50"/>
      <c r="AJ135" s="50"/>
      <c r="AK135" s="50"/>
      <c r="AL135" s="50"/>
      <c r="AM135" s="31"/>
      <c r="AN135" s="123"/>
      <c r="AO135" s="124"/>
      <c r="AP135" s="124"/>
      <c r="AQ135" s="124"/>
      <c r="AR135" s="124"/>
      <c r="AS135" s="124"/>
      <c r="AT135" s="125"/>
      <c r="AU135" s="14"/>
      <c r="AZ135" s="56">
        <f>+AZ134/1.19</f>
        <v>24871260.50420168</v>
      </c>
    </row>
    <row r="136" spans="1:62" ht="15.75" customHeight="1" x14ac:dyDescent="0.35">
      <c r="A136" s="13"/>
      <c r="B136" s="115" t="s">
        <v>62</v>
      </c>
      <c r="C136" s="115"/>
      <c r="D136" s="115"/>
      <c r="E136" s="115"/>
      <c r="F136" s="115"/>
      <c r="G136" s="115"/>
      <c r="H136" s="115"/>
      <c r="I136" s="115"/>
      <c r="J136" s="115"/>
      <c r="K136" s="115"/>
      <c r="L136" s="117"/>
      <c r="M136" s="117"/>
      <c r="N136" s="117"/>
      <c r="O136" s="117"/>
      <c r="P136" s="117"/>
      <c r="Q136" s="117"/>
      <c r="R136" s="117"/>
      <c r="S136" s="117"/>
      <c r="T136" s="117"/>
      <c r="U136" s="117"/>
      <c r="V136" s="117"/>
      <c r="W136" s="31"/>
      <c r="X136" s="55" t="s">
        <v>80</v>
      </c>
      <c r="Y136" s="55"/>
      <c r="Z136" s="55"/>
      <c r="AA136" s="55"/>
      <c r="AB136" s="55"/>
      <c r="AC136" s="55"/>
      <c r="AD136" s="31"/>
      <c r="AE136" s="118">
        <v>44275</v>
      </c>
      <c r="AF136" s="119"/>
      <c r="AG136" s="50"/>
      <c r="AH136" s="50"/>
      <c r="AI136" s="50"/>
      <c r="AJ136" s="50"/>
      <c r="AK136" s="50"/>
      <c r="AL136" s="50"/>
      <c r="AM136" s="31"/>
      <c r="AN136" s="126"/>
      <c r="AO136" s="127"/>
      <c r="AP136" s="127"/>
      <c r="AQ136" s="127"/>
      <c r="AR136" s="127"/>
      <c r="AS136" s="127"/>
      <c r="AT136" s="128"/>
      <c r="AU136" s="14"/>
      <c r="AZ136" s="56">
        <v>59200000</v>
      </c>
    </row>
    <row r="137" spans="1:62" ht="15.75" customHeight="1" thickBot="1" x14ac:dyDescent="0.4">
      <c r="A137" s="13"/>
      <c r="B137" s="115" t="s">
        <v>63</v>
      </c>
      <c r="C137" s="115"/>
      <c r="D137" s="115"/>
      <c r="E137" s="115"/>
      <c r="F137" s="115"/>
      <c r="G137" s="115"/>
      <c r="H137" s="115"/>
      <c r="I137" s="115"/>
      <c r="J137" s="115"/>
      <c r="K137" s="115"/>
      <c r="L137" s="117" t="s">
        <v>137</v>
      </c>
      <c r="M137" s="117"/>
      <c r="N137" s="117"/>
      <c r="O137" s="117"/>
      <c r="P137" s="117"/>
      <c r="Q137" s="117"/>
      <c r="R137" s="117"/>
      <c r="S137" s="117"/>
      <c r="T137" s="117"/>
      <c r="U137" s="117"/>
      <c r="V137" s="117"/>
      <c r="W137" s="32"/>
      <c r="X137" s="55" t="s">
        <v>81</v>
      </c>
      <c r="Y137" s="55"/>
      <c r="Z137" s="55"/>
      <c r="AA137" s="55"/>
      <c r="AB137" s="55"/>
      <c r="AC137" s="55"/>
      <c r="AD137" s="31"/>
      <c r="AE137" s="118" t="s">
        <v>133</v>
      </c>
      <c r="AF137" s="119"/>
      <c r="AG137" s="50"/>
      <c r="AH137" s="50"/>
      <c r="AI137" s="50"/>
      <c r="AJ137" s="50"/>
      <c r="AK137" s="50"/>
      <c r="AL137" s="50"/>
      <c r="AM137" s="31"/>
      <c r="AN137" s="129"/>
      <c r="AO137" s="130"/>
      <c r="AP137" s="130"/>
      <c r="AQ137" s="130"/>
      <c r="AR137" s="130"/>
      <c r="AS137" s="130"/>
      <c r="AT137" s="131"/>
      <c r="AU137" s="14"/>
      <c r="AZ137" s="56">
        <f>+AZ136/1.19</f>
        <v>49747899.159663871</v>
      </c>
    </row>
    <row r="138" spans="1:62" ht="12.65" customHeight="1" x14ac:dyDescent="0.35">
      <c r="A138" s="13"/>
      <c r="B138" s="31"/>
      <c r="C138" s="32"/>
      <c r="D138" s="32"/>
      <c r="E138" s="32"/>
      <c r="F138" s="32"/>
      <c r="G138" s="32"/>
      <c r="H138" s="32"/>
      <c r="I138" s="32"/>
      <c r="J138" s="32"/>
      <c r="K138" s="32"/>
      <c r="L138" s="32"/>
      <c r="M138" s="32"/>
      <c r="N138" s="31"/>
      <c r="O138" s="31"/>
      <c r="P138" s="31"/>
      <c r="Q138" s="32"/>
      <c r="R138" s="32"/>
      <c r="S138" s="32"/>
      <c r="T138" s="32"/>
      <c r="U138" s="32"/>
      <c r="V138" s="32"/>
      <c r="W138" s="32"/>
      <c r="X138" s="32"/>
      <c r="Y138" s="31"/>
      <c r="Z138" s="31"/>
      <c r="AA138" s="31"/>
      <c r="AB138" s="31"/>
      <c r="AC138" s="31"/>
      <c r="AD138" s="31"/>
      <c r="AE138" s="31"/>
      <c r="AF138" s="50"/>
      <c r="AG138" s="50"/>
      <c r="AH138" s="50"/>
      <c r="AI138" s="50"/>
      <c r="AJ138" s="50"/>
      <c r="AK138" s="50"/>
      <c r="AL138" s="50"/>
      <c r="AM138" s="31"/>
      <c r="AN138" s="52"/>
      <c r="AO138" s="52"/>
      <c r="AP138" s="52"/>
      <c r="AQ138" s="52"/>
      <c r="AR138" s="52"/>
      <c r="AS138" s="52"/>
      <c r="AT138" s="52"/>
      <c r="AU138" s="14"/>
    </row>
    <row r="139" spans="1:62" s="31" customFormat="1" ht="15.75" customHeight="1" x14ac:dyDescent="0.35">
      <c r="A139" s="29"/>
      <c r="B139" s="32"/>
      <c r="U139" s="32"/>
      <c r="V139" s="32"/>
      <c r="W139" s="32"/>
      <c r="AB139" s="50"/>
      <c r="AC139" s="50"/>
      <c r="AD139" s="50"/>
      <c r="AE139" s="50"/>
      <c r="AF139" s="50"/>
      <c r="AG139" s="50"/>
      <c r="AH139" s="50"/>
      <c r="AI139" s="50"/>
      <c r="AJ139" s="50"/>
      <c r="AK139" s="50"/>
      <c r="AL139" s="50"/>
      <c r="AN139" s="52"/>
      <c r="AO139" s="52"/>
      <c r="AP139" s="52"/>
      <c r="AQ139" s="52"/>
      <c r="AR139" s="52"/>
      <c r="AS139" s="52"/>
      <c r="AT139" s="52"/>
      <c r="AU139" s="30"/>
    </row>
    <row r="140" spans="1:62" s="31" customFormat="1" ht="5.25" hidden="1" customHeight="1" x14ac:dyDescent="0.35">
      <c r="A140" s="29"/>
      <c r="B140" s="19"/>
      <c r="U140" s="19"/>
      <c r="V140" s="19"/>
      <c r="W140" s="19"/>
      <c r="X140" s="19"/>
      <c r="Y140" s="19"/>
      <c r="Z140" s="19"/>
      <c r="AA140" s="19"/>
      <c r="AB140" s="2"/>
      <c r="AC140" s="2"/>
      <c r="AD140" s="2"/>
      <c r="AE140" s="2"/>
      <c r="AF140" s="2"/>
      <c r="AG140" s="2"/>
      <c r="AH140" s="2"/>
      <c r="AI140" s="2"/>
      <c r="AJ140" s="2"/>
      <c r="AK140" s="2"/>
      <c r="AL140" s="2"/>
      <c r="AM140" s="2"/>
      <c r="AN140" s="2"/>
      <c r="AO140" s="2"/>
      <c r="AP140" s="2"/>
      <c r="AQ140" s="2"/>
      <c r="AR140" s="2"/>
      <c r="AS140" s="2"/>
      <c r="AT140" s="2"/>
      <c r="AU140" s="30"/>
    </row>
    <row r="141" spans="1:62" ht="12.65" customHeight="1" x14ac:dyDescent="0.35">
      <c r="A141" s="13"/>
      <c r="B141" s="48"/>
      <c r="C141" s="48"/>
      <c r="D141" s="48"/>
      <c r="E141" s="48"/>
      <c r="F141" s="48"/>
      <c r="G141" s="48"/>
      <c r="H141" s="48"/>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14"/>
    </row>
    <row r="142" spans="1:62" ht="12.65" customHeight="1" x14ac:dyDescent="0.35">
      <c r="A142" s="13"/>
      <c r="B142" s="114" t="s">
        <v>99</v>
      </c>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
      <c r="AA142" s="1"/>
      <c r="AB142" s="1"/>
      <c r="AC142" s="4"/>
      <c r="AD142" s="113" t="s">
        <v>55</v>
      </c>
      <c r="AE142" s="113"/>
      <c r="AF142" s="113"/>
      <c r="AG142" s="113"/>
      <c r="AH142" s="113"/>
      <c r="AI142" s="113"/>
      <c r="AJ142" s="113"/>
      <c r="AK142" s="113"/>
      <c r="AL142" s="113"/>
      <c r="AM142" s="113"/>
      <c r="AN142" s="113"/>
      <c r="AO142" s="113"/>
      <c r="AP142" s="113"/>
      <c r="AQ142" s="113"/>
      <c r="AR142" s="113"/>
      <c r="AS142" s="113"/>
      <c r="AT142" s="25"/>
      <c r="AU142" s="14"/>
    </row>
    <row r="143" spans="1:62" ht="12.65" customHeight="1" x14ac:dyDescent="0.35">
      <c r="A143" s="13"/>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
      <c r="AA143" s="1"/>
      <c r="AB143" s="2"/>
      <c r="AC143" s="4"/>
      <c r="AD143" s="113"/>
      <c r="AE143" s="113"/>
      <c r="AF143" s="113"/>
      <c r="AG143" s="113"/>
      <c r="AH143" s="113"/>
      <c r="AI143" s="113"/>
      <c r="AJ143" s="113"/>
      <c r="AK143" s="113"/>
      <c r="AL143" s="113"/>
      <c r="AM143" s="113"/>
      <c r="AN143" s="113"/>
      <c r="AO143" s="113"/>
      <c r="AP143" s="113"/>
      <c r="AQ143" s="113"/>
      <c r="AR143" s="113"/>
      <c r="AS143" s="113"/>
      <c r="AT143" s="25"/>
      <c r="AU143" s="14"/>
    </row>
    <row r="144" spans="1:62" ht="11.25" customHeight="1" x14ac:dyDescent="0.35">
      <c r="A144" s="13"/>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
      <c r="AA144" s="1"/>
      <c r="AB144" s="2"/>
      <c r="AC144" s="4"/>
      <c r="AD144" s="113"/>
      <c r="AE144" s="113"/>
      <c r="AF144" s="113"/>
      <c r="AG144" s="113"/>
      <c r="AH144" s="113"/>
      <c r="AI144" s="113"/>
      <c r="AJ144" s="113"/>
      <c r="AK144" s="113"/>
      <c r="AL144" s="113"/>
      <c r="AM144" s="113"/>
      <c r="AN144" s="113"/>
      <c r="AO144" s="113"/>
      <c r="AP144" s="113"/>
      <c r="AQ144" s="113"/>
      <c r="AR144" s="113"/>
      <c r="AS144" s="113"/>
      <c r="AT144" s="25"/>
      <c r="AU144" s="14"/>
      <c r="BJ144" s="3" t="s">
        <v>75</v>
      </c>
    </row>
    <row r="145" spans="1:47" s="31" customFormat="1" ht="12.65" customHeight="1" x14ac:dyDescent="0.35">
      <c r="A145" s="29"/>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
      <c r="AA145" s="1"/>
      <c r="AB145" s="2"/>
      <c r="AC145" s="4"/>
      <c r="AD145" s="113"/>
      <c r="AE145" s="113"/>
      <c r="AF145" s="113"/>
      <c r="AG145" s="113"/>
      <c r="AH145" s="113"/>
      <c r="AI145" s="113"/>
      <c r="AJ145" s="113"/>
      <c r="AK145" s="113"/>
      <c r="AL145" s="113"/>
      <c r="AM145" s="113"/>
      <c r="AN145" s="113"/>
      <c r="AO145" s="113"/>
      <c r="AP145" s="113"/>
      <c r="AQ145" s="113"/>
      <c r="AR145" s="113"/>
      <c r="AS145" s="113"/>
      <c r="AT145" s="25"/>
      <c r="AU145" s="30"/>
    </row>
    <row r="146" spans="1:47" s="31" customFormat="1" ht="12.65" customHeight="1" thickBot="1" x14ac:dyDescent="0.4">
      <c r="A146" s="29"/>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
      <c r="AA146" s="1"/>
      <c r="AB146" s="2"/>
      <c r="AC146" s="4" t="s">
        <v>39</v>
      </c>
      <c r="AD146" s="116"/>
      <c r="AE146" s="116"/>
      <c r="AF146" s="116"/>
      <c r="AG146" s="116"/>
      <c r="AH146" s="116"/>
      <c r="AI146" s="116"/>
      <c r="AJ146" s="116"/>
      <c r="AK146" s="116"/>
      <c r="AL146" s="116"/>
      <c r="AM146" s="116"/>
      <c r="AN146" s="116"/>
      <c r="AO146" s="116"/>
      <c r="AP146" s="116"/>
      <c r="AQ146" s="116"/>
      <c r="AR146" s="116"/>
      <c r="AS146" s="116"/>
      <c r="AT146" s="25"/>
      <c r="AU146" s="30"/>
    </row>
    <row r="147" spans="1:47" s="31" customFormat="1" ht="12.65" customHeight="1" x14ac:dyDescent="0.35">
      <c r="A147" s="29"/>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
      <c r="AA147" s="1"/>
      <c r="AB147" s="2"/>
      <c r="AC147" s="4" t="s">
        <v>40</v>
      </c>
      <c r="AD147" s="112" t="s">
        <v>138</v>
      </c>
      <c r="AE147" s="112"/>
      <c r="AF147" s="112"/>
      <c r="AG147" s="112"/>
      <c r="AH147" s="112"/>
      <c r="AI147" s="112"/>
      <c r="AJ147" s="112"/>
      <c r="AK147" s="112"/>
      <c r="AL147" s="112"/>
      <c r="AM147" s="112"/>
      <c r="AN147" s="112"/>
      <c r="AO147" s="112"/>
      <c r="AP147" s="112"/>
      <c r="AQ147" s="112"/>
      <c r="AR147" s="112"/>
      <c r="AS147" s="112"/>
      <c r="AT147" s="2"/>
      <c r="AU147" s="30"/>
    </row>
    <row r="148" spans="1:47" s="31" customFormat="1" ht="12.65" customHeight="1" x14ac:dyDescent="0.35">
      <c r="A148" s="29"/>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
      <c r="AA148" s="1"/>
      <c r="AB148" s="2"/>
      <c r="AC148" s="4" t="s">
        <v>41</v>
      </c>
      <c r="AD148" s="112" t="s">
        <v>141</v>
      </c>
      <c r="AE148" s="112"/>
      <c r="AF148" s="112"/>
      <c r="AG148" s="112"/>
      <c r="AH148" s="112"/>
      <c r="AI148" s="112"/>
      <c r="AJ148" s="112"/>
      <c r="AK148" s="112"/>
      <c r="AL148" s="112"/>
      <c r="AM148" s="112"/>
      <c r="AN148" s="112"/>
      <c r="AO148" s="112"/>
      <c r="AP148" s="112"/>
      <c r="AQ148" s="112"/>
      <c r="AR148" s="112"/>
      <c r="AS148" s="112"/>
      <c r="AT148" s="2"/>
      <c r="AU148" s="30"/>
    </row>
    <row r="149" spans="1:47" ht="12.65" customHeight="1" x14ac:dyDescent="0.35">
      <c r="A149" s="13"/>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2"/>
      <c r="AC149" s="4" t="s">
        <v>101</v>
      </c>
      <c r="AD149" s="132">
        <v>46038</v>
      </c>
      <c r="AE149" s="112"/>
      <c r="AF149" s="112"/>
      <c r="AG149" s="112"/>
      <c r="AH149" s="112"/>
      <c r="AI149" s="112"/>
      <c r="AJ149" s="112"/>
      <c r="AK149" s="112"/>
      <c r="AL149" s="112"/>
      <c r="AM149" s="112"/>
      <c r="AN149" s="112"/>
      <c r="AO149" s="112"/>
      <c r="AP149" s="112"/>
      <c r="AQ149" s="112"/>
      <c r="AR149" s="112"/>
      <c r="AS149" s="112"/>
      <c r="AT149" s="2"/>
      <c r="AU149" s="14"/>
    </row>
    <row r="150" spans="1:47" ht="12.65" customHeight="1" x14ac:dyDescent="0.35">
      <c r="A150" s="13"/>
      <c r="B150" s="48"/>
      <c r="C150" s="48"/>
      <c r="D150" s="48"/>
      <c r="E150" s="48"/>
      <c r="F150" s="48"/>
      <c r="G150" s="48"/>
      <c r="H150" s="48"/>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14"/>
    </row>
    <row r="151" spans="1:47" ht="12.65" customHeight="1" thickBot="1" x14ac:dyDescent="0.4">
      <c r="A151" s="15"/>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16"/>
    </row>
    <row r="152" spans="1:47" ht="12.65" customHeight="1" x14ac:dyDescent="0.35">
      <c r="A152" s="42"/>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4"/>
    </row>
    <row r="153" spans="1:47" ht="12.65" customHeight="1" x14ac:dyDescent="0.35">
      <c r="A153" s="190" t="s">
        <v>76</v>
      </c>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2"/>
    </row>
    <row r="154" spans="1:47" ht="309.75" customHeight="1" x14ac:dyDescent="0.35">
      <c r="A154" s="120" t="s">
        <v>83</v>
      </c>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2"/>
    </row>
    <row r="155" spans="1:47" ht="246.75" customHeight="1" x14ac:dyDescent="0.35">
      <c r="A155" s="133" t="s">
        <v>92</v>
      </c>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c r="AI155" s="114"/>
      <c r="AJ155" s="114"/>
      <c r="AK155" s="114"/>
      <c r="AL155" s="114"/>
      <c r="AM155" s="114"/>
      <c r="AN155" s="114"/>
      <c r="AO155" s="114"/>
      <c r="AP155" s="114"/>
      <c r="AQ155" s="114"/>
      <c r="AR155" s="114"/>
      <c r="AS155" s="114"/>
      <c r="AT155" s="114"/>
      <c r="AU155" s="134"/>
    </row>
    <row r="156" spans="1:47" ht="110.25" customHeight="1" thickBot="1" x14ac:dyDescent="0.4">
      <c r="A156" s="109" t="s">
        <v>91</v>
      </c>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1"/>
    </row>
  </sheetData>
  <mergeCells count="456">
    <mergeCell ref="I41:P42"/>
    <mergeCell ref="C41:H42"/>
    <mergeCell ref="B89:E89"/>
    <mergeCell ref="F89:U89"/>
    <mergeCell ref="V89:W89"/>
    <mergeCell ref="X89:Z89"/>
    <mergeCell ref="AA89:AC89"/>
    <mergeCell ref="AD89:AF89"/>
    <mergeCell ref="AG89:AI89"/>
    <mergeCell ref="B85:E85"/>
    <mergeCell ref="F85:U85"/>
    <mergeCell ref="V85:W85"/>
    <mergeCell ref="X85:Z85"/>
    <mergeCell ref="AA85:AC85"/>
    <mergeCell ref="AD85:AF85"/>
    <mergeCell ref="AG85:AI85"/>
    <mergeCell ref="B83:E83"/>
    <mergeCell ref="F83:U83"/>
    <mergeCell ref="V83:W83"/>
    <mergeCell ref="X83:Z83"/>
    <mergeCell ref="AA83:AC83"/>
    <mergeCell ref="AD83:AF83"/>
    <mergeCell ref="AG83:AI83"/>
    <mergeCell ref="B81:E81"/>
    <mergeCell ref="AJ89:AT89"/>
    <mergeCell ref="B87:E87"/>
    <mergeCell ref="F87:U87"/>
    <mergeCell ref="V87:W87"/>
    <mergeCell ref="X87:Z87"/>
    <mergeCell ref="AA87:AC87"/>
    <mergeCell ref="AD87:AF87"/>
    <mergeCell ref="AG87:AI87"/>
    <mergeCell ref="AJ87:AT87"/>
    <mergeCell ref="B88:E88"/>
    <mergeCell ref="F88:U88"/>
    <mergeCell ref="V88:W88"/>
    <mergeCell ref="X88:Z88"/>
    <mergeCell ref="AA88:AC88"/>
    <mergeCell ref="AD88:AF88"/>
    <mergeCell ref="AG88:AI88"/>
    <mergeCell ref="AJ88:AT88"/>
    <mergeCell ref="AJ85:AT85"/>
    <mergeCell ref="B86:E86"/>
    <mergeCell ref="F86:U86"/>
    <mergeCell ref="V86:W86"/>
    <mergeCell ref="X86:Z86"/>
    <mergeCell ref="AA86:AC86"/>
    <mergeCell ref="AD86:AF86"/>
    <mergeCell ref="AG86:AI86"/>
    <mergeCell ref="AJ86:AT86"/>
    <mergeCell ref="AJ83:AT83"/>
    <mergeCell ref="B84:E84"/>
    <mergeCell ref="F84:U84"/>
    <mergeCell ref="V84:W84"/>
    <mergeCell ref="X84:Z84"/>
    <mergeCell ref="AA84:AC84"/>
    <mergeCell ref="AD84:AF84"/>
    <mergeCell ref="AG84:AI84"/>
    <mergeCell ref="AJ84:AT84"/>
    <mergeCell ref="F81:U81"/>
    <mergeCell ref="V81:W81"/>
    <mergeCell ref="X81:Z81"/>
    <mergeCell ref="AA81:AC81"/>
    <mergeCell ref="AD81:AF81"/>
    <mergeCell ref="AG81:AI81"/>
    <mergeCell ref="AJ81:AT81"/>
    <mergeCell ref="B82:E82"/>
    <mergeCell ref="F82:U82"/>
    <mergeCell ref="V82:W82"/>
    <mergeCell ref="X82:Z82"/>
    <mergeCell ref="AA82:AC82"/>
    <mergeCell ref="AD82:AF82"/>
    <mergeCell ref="AG82:AI82"/>
    <mergeCell ref="AJ82:AT82"/>
    <mergeCell ref="X79:Z79"/>
    <mergeCell ref="AA79:AC79"/>
    <mergeCell ref="AD79:AF79"/>
    <mergeCell ref="B78:E78"/>
    <mergeCell ref="F78:U78"/>
    <mergeCell ref="V78:W78"/>
    <mergeCell ref="AG79:AI79"/>
    <mergeCell ref="AJ79:AT79"/>
    <mergeCell ref="B80:E80"/>
    <mergeCell ref="F80:U80"/>
    <mergeCell ref="V80:W80"/>
    <mergeCell ref="X80:Z80"/>
    <mergeCell ref="AA80:AC80"/>
    <mergeCell ref="AD80:AF80"/>
    <mergeCell ref="AG80:AI80"/>
    <mergeCell ref="AJ80:AT80"/>
    <mergeCell ref="AN112:AT112"/>
    <mergeCell ref="B74:E74"/>
    <mergeCell ref="F74:U74"/>
    <mergeCell ref="V74:W74"/>
    <mergeCell ref="X74:Z74"/>
    <mergeCell ref="AA74:AC74"/>
    <mergeCell ref="AD74:AF74"/>
    <mergeCell ref="AG74:AI74"/>
    <mergeCell ref="AJ74:AT74"/>
    <mergeCell ref="B75:E75"/>
    <mergeCell ref="F75:U75"/>
    <mergeCell ref="V75:W75"/>
    <mergeCell ref="X75:Z75"/>
    <mergeCell ref="AA75:AC75"/>
    <mergeCell ref="AD75:AF75"/>
    <mergeCell ref="AG75:AI75"/>
    <mergeCell ref="AJ75:AT75"/>
    <mergeCell ref="B76:E76"/>
    <mergeCell ref="B100:AT100"/>
    <mergeCell ref="B102:AT102"/>
    <mergeCell ref="AN107:AT107"/>
    <mergeCell ref="F76:U76"/>
    <mergeCell ref="V76:W76"/>
    <mergeCell ref="X76:Z76"/>
    <mergeCell ref="B104:AT104"/>
    <mergeCell ref="B73:E73"/>
    <mergeCell ref="F73:U73"/>
    <mergeCell ref="V73:W73"/>
    <mergeCell ref="X73:Z73"/>
    <mergeCell ref="AA73:AC73"/>
    <mergeCell ref="AD73:AF73"/>
    <mergeCell ref="AG73:AI73"/>
    <mergeCell ref="AJ73:AT73"/>
    <mergeCell ref="B94:AT94"/>
    <mergeCell ref="AA76:AC76"/>
    <mergeCell ref="AD76:AF76"/>
    <mergeCell ref="AG76:AI76"/>
    <mergeCell ref="AJ76:AT76"/>
    <mergeCell ref="B77:E77"/>
    <mergeCell ref="F77:U77"/>
    <mergeCell ref="V77:W77"/>
    <mergeCell ref="X77:Z77"/>
    <mergeCell ref="AA77:AC77"/>
    <mergeCell ref="AD77:AF77"/>
    <mergeCell ref="AG77:AI77"/>
    <mergeCell ref="B79:E79"/>
    <mergeCell ref="F79:U79"/>
    <mergeCell ref="V79:W79"/>
    <mergeCell ref="AN134:AT134"/>
    <mergeCell ref="C118:G118"/>
    <mergeCell ref="H118:L118"/>
    <mergeCell ref="X118:AM118"/>
    <mergeCell ref="L135:V135"/>
    <mergeCell ref="L136:V136"/>
    <mergeCell ref="AN128:AT128"/>
    <mergeCell ref="AN126:AT126"/>
    <mergeCell ref="AN117:AT117"/>
    <mergeCell ref="S118:U118"/>
    <mergeCell ref="Y124:AE124"/>
    <mergeCell ref="V118:W118"/>
    <mergeCell ref="C117:G117"/>
    <mergeCell ref="M117:O117"/>
    <mergeCell ref="P117:R117"/>
    <mergeCell ref="S117:U117"/>
    <mergeCell ref="V117:W117"/>
    <mergeCell ref="I124:N124"/>
    <mergeCell ref="AN132:AT132"/>
    <mergeCell ref="AN124:AT124"/>
    <mergeCell ref="B120:AT120"/>
    <mergeCell ref="B122:AT122"/>
    <mergeCell ref="P118:R118"/>
    <mergeCell ref="AN118:AT118"/>
    <mergeCell ref="AA133:AM133"/>
    <mergeCell ref="X108:AM108"/>
    <mergeCell ref="P108:R108"/>
    <mergeCell ref="S108:U108"/>
    <mergeCell ref="V108:W108"/>
    <mergeCell ref="M109:O109"/>
    <mergeCell ref="P109:R109"/>
    <mergeCell ref="S109:U109"/>
    <mergeCell ref="V109:W109"/>
    <mergeCell ref="M108:O108"/>
    <mergeCell ref="V112:W112"/>
    <mergeCell ref="M118:O118"/>
    <mergeCell ref="P112:R112"/>
    <mergeCell ref="X110:AM110"/>
    <mergeCell ref="P110:R110"/>
    <mergeCell ref="S110:U110"/>
    <mergeCell ref="V110:W110"/>
    <mergeCell ref="M111:O111"/>
    <mergeCell ref="P111:R111"/>
    <mergeCell ref="X109:AM109"/>
    <mergeCell ref="AN130:AT130"/>
    <mergeCell ref="B116:AT116"/>
    <mergeCell ref="AN111:AT111"/>
    <mergeCell ref="AN108:AT108"/>
    <mergeCell ref="AN113:AT113"/>
    <mergeCell ref="AN110:AT110"/>
    <mergeCell ref="X112:AM112"/>
    <mergeCell ref="C112:G112"/>
    <mergeCell ref="H111:L111"/>
    <mergeCell ref="H112:L112"/>
    <mergeCell ref="S111:U111"/>
    <mergeCell ref="X111:AM111"/>
    <mergeCell ref="S112:U112"/>
    <mergeCell ref="C110:G110"/>
    <mergeCell ref="X117:AM117"/>
    <mergeCell ref="H117:L117"/>
    <mergeCell ref="AH114:AT115"/>
    <mergeCell ref="H109:L109"/>
    <mergeCell ref="M112:O112"/>
    <mergeCell ref="H110:L110"/>
    <mergeCell ref="AN109:AT109"/>
    <mergeCell ref="M110:O110"/>
    <mergeCell ref="C108:G108"/>
    <mergeCell ref="C109:G109"/>
    <mergeCell ref="AN63:AT63"/>
    <mergeCell ref="B96:AT98"/>
    <mergeCell ref="C63:H63"/>
    <mergeCell ref="B70:E71"/>
    <mergeCell ref="F70:U71"/>
    <mergeCell ref="X70:Z71"/>
    <mergeCell ref="AA70:AC71"/>
    <mergeCell ref="B68:AT68"/>
    <mergeCell ref="I65:M65"/>
    <mergeCell ref="C64:H64"/>
    <mergeCell ref="I64:M64"/>
    <mergeCell ref="B91:AT91"/>
    <mergeCell ref="B90:AT90"/>
    <mergeCell ref="C65:H65"/>
    <mergeCell ref="AA72:AC72"/>
    <mergeCell ref="AD72:AF72"/>
    <mergeCell ref="AG72:AI72"/>
    <mergeCell ref="AJ72:AT72"/>
    <mergeCell ref="X78:Z78"/>
    <mergeCell ref="AA78:AC78"/>
    <mergeCell ref="AD78:AF78"/>
    <mergeCell ref="AG78:AI78"/>
    <mergeCell ref="AJ78:AT78"/>
    <mergeCell ref="AJ77:AT77"/>
    <mergeCell ref="AN42:AT42"/>
    <mergeCell ref="C60:H60"/>
    <mergeCell ref="AD61:AH61"/>
    <mergeCell ref="AD64:AH64"/>
    <mergeCell ref="N62:AC62"/>
    <mergeCell ref="N63:AC63"/>
    <mergeCell ref="Q44:W44"/>
    <mergeCell ref="I60:M60"/>
    <mergeCell ref="Q45:W45"/>
    <mergeCell ref="C61:H61"/>
    <mergeCell ref="C51:H51"/>
    <mergeCell ref="C52:H52"/>
    <mergeCell ref="X52:AM52"/>
    <mergeCell ref="AN62:AT62"/>
    <mergeCell ref="AD62:AH62"/>
    <mergeCell ref="AI64:AM64"/>
    <mergeCell ref="AI62:AM62"/>
    <mergeCell ref="AD63:AH63"/>
    <mergeCell ref="N61:AC61"/>
    <mergeCell ref="C49:H49"/>
    <mergeCell ref="I49:P49"/>
    <mergeCell ref="Q49:W49"/>
    <mergeCell ref="X49:AM49"/>
    <mergeCell ref="AN49:AT49"/>
    <mergeCell ref="AN41:AT41"/>
    <mergeCell ref="X41:AM41"/>
    <mergeCell ref="AN46:AT46"/>
    <mergeCell ref="X45:AM45"/>
    <mergeCell ref="AN60:AT60"/>
    <mergeCell ref="I61:M61"/>
    <mergeCell ref="X42:AM42"/>
    <mergeCell ref="N60:AC60"/>
    <mergeCell ref="Q42:W42"/>
    <mergeCell ref="I43:P43"/>
    <mergeCell ref="Q43:W43"/>
    <mergeCell ref="X43:AM43"/>
    <mergeCell ref="X44:AM44"/>
    <mergeCell ref="Q41:W41"/>
    <mergeCell ref="X50:AM50"/>
    <mergeCell ref="AN50:AT50"/>
    <mergeCell ref="I51:P51"/>
    <mergeCell ref="Q51:W51"/>
    <mergeCell ref="X51:AM51"/>
    <mergeCell ref="AN51:AT51"/>
    <mergeCell ref="I52:P52"/>
    <mergeCell ref="Q52:W52"/>
    <mergeCell ref="B48:AT48"/>
    <mergeCell ref="C44:H44"/>
    <mergeCell ref="I31:K31"/>
    <mergeCell ref="AN31:AT31"/>
    <mergeCell ref="M31:P31"/>
    <mergeCell ref="AN40:AT40"/>
    <mergeCell ref="C31:H31"/>
    <mergeCell ref="C32:H32"/>
    <mergeCell ref="AH31:AM31"/>
    <mergeCell ref="W32:AA32"/>
    <mergeCell ref="J37:AL37"/>
    <mergeCell ref="X40:AM40"/>
    <mergeCell ref="C40:H40"/>
    <mergeCell ref="W31:AA31"/>
    <mergeCell ref="AB31:AG31"/>
    <mergeCell ref="I32:K32"/>
    <mergeCell ref="M32:P32"/>
    <mergeCell ref="R32:U32"/>
    <mergeCell ref="AH32:AM32"/>
    <mergeCell ref="B39:AT39"/>
    <mergeCell ref="I40:P40"/>
    <mergeCell ref="Q40:W40"/>
    <mergeCell ref="AS2:AT2"/>
    <mergeCell ref="AQ2:AR2"/>
    <mergeCell ref="AO2:AP2"/>
    <mergeCell ref="B5:AT5"/>
    <mergeCell ref="AK8:AT8"/>
    <mergeCell ref="AK7:AT7"/>
    <mergeCell ref="AD8:AJ8"/>
    <mergeCell ref="I8:AB8"/>
    <mergeCell ref="J2:AK3"/>
    <mergeCell ref="B13:H13"/>
    <mergeCell ref="B7:H7"/>
    <mergeCell ref="I7:AB7"/>
    <mergeCell ref="AD7:AJ7"/>
    <mergeCell ref="B8:H8"/>
    <mergeCell ref="B9:H9"/>
    <mergeCell ref="I9:AB9"/>
    <mergeCell ref="AK9:AT9"/>
    <mergeCell ref="AI9:AJ9"/>
    <mergeCell ref="B10:H10"/>
    <mergeCell ref="I10:AB10"/>
    <mergeCell ref="AI10:AJ10"/>
    <mergeCell ref="AK10:AT10"/>
    <mergeCell ref="I13:AT15"/>
    <mergeCell ref="C30:H30"/>
    <mergeCell ref="C28:H28"/>
    <mergeCell ref="I28:K28"/>
    <mergeCell ref="AN24:AT24"/>
    <mergeCell ref="B22:AT22"/>
    <mergeCell ref="W29:AA29"/>
    <mergeCell ref="AB29:AG29"/>
    <mergeCell ref="AH29:AM29"/>
    <mergeCell ref="AN29:AT29"/>
    <mergeCell ref="H24:P24"/>
    <mergeCell ref="W24:AB24"/>
    <mergeCell ref="W23:AB23"/>
    <mergeCell ref="AH24:AM24"/>
    <mergeCell ref="B26:AT26"/>
    <mergeCell ref="M30:P30"/>
    <mergeCell ref="R30:U30"/>
    <mergeCell ref="AH28:AM28"/>
    <mergeCell ref="I27:V27"/>
    <mergeCell ref="W27:AA27"/>
    <mergeCell ref="AB27:AG27"/>
    <mergeCell ref="AH27:AM27"/>
    <mergeCell ref="AN27:AT27"/>
    <mergeCell ref="C27:H27"/>
    <mergeCell ref="M29:P29"/>
    <mergeCell ref="R29:U29"/>
    <mergeCell ref="I30:K30"/>
    <mergeCell ref="AH30:AM30"/>
    <mergeCell ref="AN30:AT30"/>
    <mergeCell ref="M28:P28"/>
    <mergeCell ref="W30:AA30"/>
    <mergeCell ref="AH23:AM23"/>
    <mergeCell ref="I29:K29"/>
    <mergeCell ref="R28:U28"/>
    <mergeCell ref="AG17:AH17"/>
    <mergeCell ref="AI17:AJ17"/>
    <mergeCell ref="M17:R17"/>
    <mergeCell ref="Z17:AD17"/>
    <mergeCell ref="H23:V23"/>
    <mergeCell ref="AC23:AG23"/>
    <mergeCell ref="B35:AT35"/>
    <mergeCell ref="W28:AA28"/>
    <mergeCell ref="AB28:AG28"/>
    <mergeCell ref="AB30:AG30"/>
    <mergeCell ref="C29:H29"/>
    <mergeCell ref="AN32:AT32"/>
    <mergeCell ref="AE17:AF17"/>
    <mergeCell ref="AB32:AG32"/>
    <mergeCell ref="B17:L17"/>
    <mergeCell ref="S17:T17"/>
    <mergeCell ref="U17:V17"/>
    <mergeCell ref="W17:X17"/>
    <mergeCell ref="B23:G23"/>
    <mergeCell ref="B24:G24"/>
    <mergeCell ref="AN23:AT23"/>
    <mergeCell ref="AN28:AT28"/>
    <mergeCell ref="R31:U31"/>
    <mergeCell ref="B20:AT20"/>
    <mergeCell ref="C50:H50"/>
    <mergeCell ref="I50:P50"/>
    <mergeCell ref="Q50:W50"/>
    <mergeCell ref="N65:AC65"/>
    <mergeCell ref="I62:M62"/>
    <mergeCell ref="AN64:AT64"/>
    <mergeCell ref="AI65:AM65"/>
    <mergeCell ref="A153:AU153"/>
    <mergeCell ref="AN43:AT43"/>
    <mergeCell ref="B59:AT59"/>
    <mergeCell ref="AN44:AT44"/>
    <mergeCell ref="B57:AT57"/>
    <mergeCell ref="AN45:AT45"/>
    <mergeCell ref="I44:P44"/>
    <mergeCell ref="C45:H45"/>
    <mergeCell ref="I45:P45"/>
    <mergeCell ref="AD60:AH60"/>
    <mergeCell ref="AI60:AM60"/>
    <mergeCell ref="C43:H43"/>
    <mergeCell ref="AN55:AT55"/>
    <mergeCell ref="AN52:AT52"/>
    <mergeCell ref="C53:H53"/>
    <mergeCell ref="I53:P53"/>
    <mergeCell ref="Q53:W53"/>
    <mergeCell ref="X53:AM53"/>
    <mergeCell ref="AN53:AT53"/>
    <mergeCell ref="C54:H54"/>
    <mergeCell ref="I54:P54"/>
    <mergeCell ref="Q54:W54"/>
    <mergeCell ref="X54:AM54"/>
    <mergeCell ref="AN54:AT54"/>
    <mergeCell ref="B72:E72"/>
    <mergeCell ref="F72:U72"/>
    <mergeCell ref="V72:W72"/>
    <mergeCell ref="X72:Z72"/>
    <mergeCell ref="C62:H62"/>
    <mergeCell ref="AN61:AT61"/>
    <mergeCell ref="V70:W71"/>
    <mergeCell ref="AJ70:AT71"/>
    <mergeCell ref="AN65:AT65"/>
    <mergeCell ref="AD70:AF71"/>
    <mergeCell ref="AG70:AI71"/>
    <mergeCell ref="N64:AC64"/>
    <mergeCell ref="AD65:AH65"/>
    <mergeCell ref="I63:M63"/>
    <mergeCell ref="AI63:AM63"/>
    <mergeCell ref="J69:AI69"/>
    <mergeCell ref="AI61:AM61"/>
    <mergeCell ref="A156:AU156"/>
    <mergeCell ref="AD148:AS148"/>
    <mergeCell ref="AD147:AS147"/>
    <mergeCell ref="AD145:AS145"/>
    <mergeCell ref="AD144:AS144"/>
    <mergeCell ref="B142:Y148"/>
    <mergeCell ref="B136:K136"/>
    <mergeCell ref="B137:K137"/>
    <mergeCell ref="AD146:AS146"/>
    <mergeCell ref="AD143:AS143"/>
    <mergeCell ref="AD142:AS142"/>
    <mergeCell ref="L137:V137"/>
    <mergeCell ref="AE137:AF137"/>
    <mergeCell ref="A154:AU154"/>
    <mergeCell ref="AN135:AT137"/>
    <mergeCell ref="AD149:AS149"/>
    <mergeCell ref="AE136:AF136"/>
    <mergeCell ref="A155:AU155"/>
    <mergeCell ref="B135:K135"/>
    <mergeCell ref="C107:G107"/>
    <mergeCell ref="V107:W107"/>
    <mergeCell ref="X107:AM107"/>
    <mergeCell ref="H107:L107"/>
    <mergeCell ref="M107:O107"/>
    <mergeCell ref="B106:AT106"/>
    <mergeCell ref="H108:L108"/>
    <mergeCell ref="C111:G111"/>
    <mergeCell ref="V111:W111"/>
    <mergeCell ref="P107:R107"/>
    <mergeCell ref="S107:U107"/>
  </mergeCells>
  <phoneticPr fontId="2" type="noConversion"/>
  <printOptions horizontalCentered="1"/>
  <pageMargins left="0.23622047244094491" right="0.23622047244094491" top="0.74803149606299213" bottom="0.74803149606299213" header="0.31496062992125984" footer="0.31496062992125984"/>
  <pageSetup scale="66" fitToHeight="0" orientation="portrait" r:id="rId1"/>
  <headerFooter>
    <oddFooter>&amp;L&amp;9FR-GAD-02-017&amp;R&amp;9VERSIÓN 6</oddFooter>
  </headerFooter>
  <rowBreaks count="2" manualBreakCount="2">
    <brk id="89" max="46" man="1"/>
    <brk id="151"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FR-GAD-02-017</vt:lpstr>
      <vt:lpstr>'FR-GAD-02-017'!Área_de_impresión</vt:lpstr>
      <vt:lpstr>'FR-GAD-02-017'!Títulos_a_imprimir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fcharris</dc:creator>
  <cp:lastModifiedBy>Correa Correa Sebastian</cp:lastModifiedBy>
  <cp:lastPrinted>2025-11-28T13:30:26Z</cp:lastPrinted>
  <dcterms:created xsi:type="dcterms:W3CDTF">2011-09-30T15:32:45Z</dcterms:created>
  <dcterms:modified xsi:type="dcterms:W3CDTF">2026-02-03T21:34:23Z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