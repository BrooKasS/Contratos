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69" documentId="8_{124AC31D-8F94-41B4-BB91-46C4C59DB29F}" xr6:coauthVersionLast="47" xr6:coauthVersionMax="47" xr10:uidLastSave="{6BD905AF-4CFC-4528-A8C7-8320F0C08F86}"/>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128" i="1" l="1"/>
  <c r="AN126" i="1"/>
  <c r="AZ119" i="1"/>
  <c r="AN55" i="1" l="1"/>
  <c r="AZ137" i="1"/>
  <c r="AZ135" i="1"/>
  <c r="AZ130" i="1"/>
  <c r="AZ126" i="1"/>
  <c r="AZ128" i="1" s="1"/>
  <c r="AZ129" i="1" s="1"/>
  <c r="AZ131" i="1" s="1"/>
  <c r="AZ133" i="1" s="1"/>
  <c r="AZ117" i="1"/>
  <c r="AN46" i="1"/>
  <c r="J37" i="1"/>
  <c r="AN113" i="1"/>
  <c r="AN124" i="1" l="1"/>
  <c r="AN13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<sst xmlns="http://schemas.openxmlformats.org/spreadsheetml/2006/main" count="226" uniqueCount="151">
  <si>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</si>
  <si>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</si>
  <si>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</si>
  <si>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</si>
  <si>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</si>
  <si>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</si>
  <si>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</si>
  <si>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</si>
  <si>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</si>
  <si>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</si>
  <si>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</si>
  <si>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</si>
  <si>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</si>
  <si>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</si>
  <si>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</si>
  <si>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</si>
  <si>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</si>
  <si>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</si>
  <si>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</si>
  <si>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</si>
  <si>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</si>
  <si>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</si>
  <si>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</si>
  <si>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</si>
  <si>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</si>
  <si>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</si>
  <si>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</si>
  <si>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</si>
  <si>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</si>
  <si>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</si>
  <si>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</si>
  <si>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</si>
  <si>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</si>
  <si>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</si>
  <si>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</si>
  <si>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</si>
  <si>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</si>
  <si>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</si>
  <si>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</si>
  <si>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</si>
  <si>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</si>
  <si>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</si>
  <si>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</si>
  <si>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</si>
  <si>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</si>
  <si>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</si>
  <si>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</si>
  <si>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</si>
  <si>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</si>
  <si>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</si>
  <si>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</si>
  <si>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</si>
  <si>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</si>
  <si>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</si>
  <si>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</si>
  <si>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</si>
  <si>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</si>
  <si>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</si>
  <si>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</si>
  <si>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</si>
  <si>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</si>
  <si>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</si>
  <si>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</si>
  <si>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</si>
  <si>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</si>
  <si>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</si>
  <si>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</si>
  <si>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</si>
  <si>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</si>
  <si>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</si>
  <si>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</si>
  <si>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</si>
  <si>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</si>
  <si>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</si>
  <si>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</si>
  <si>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</si>
  <si>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</si>
  <si>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</si>
  <si>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</si>
  <si>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</si>
  <si>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</si>
  <si>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</si>
  <si>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</si>
  <si>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</si>
  <si>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</si>
  <si>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</si>
  <si>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</si>
  <si>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</si>
  <si>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</si>
  <si>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</si>
  <si>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</si>
  <si>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</si>
  <si>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</si>
  <si>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</si>
  <si>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</si>
  <si>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</si>
  <si>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</si>
  <si>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</si>
  <si>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</si>
  <si>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</si>
  <si>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</si>
  <si>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</si>
  <si>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</si>
  <si>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</si>
  <si>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</si>
  <si>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</si>
  <si>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</si>
  <si>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</si>
  <si>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</si>
  <si>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</si>
  <si>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</si>
  <si>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</si>
  <si>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</si>
  <si>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</si>
  <si>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</si>
  <si>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</si>
  <si>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</si>
  <si>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</si>
  <si>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</si>
  <si>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</si>
  <si>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</si>
  <si>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</si>
  <si>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</si>
  <si>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</si>
  <si>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</si>
  <si>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</si>
  <si>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</si>
  <si>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</si>
  <si>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</si>
  <si>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</si>
  <si>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</si>
  <si>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</si>
  <si>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</si>
  <si>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</si>
  <si>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</si>
  <si>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</si>
  <si>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</si>
  <si>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</si>
  <si>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</si>
  <si>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FV 3030</t>
  </si>
  <si>
    <t>Consultoría Técnica Acondicionamiento de MITRA SaaS, se factura el segundo pago correspondiente al 30% según Contrato No.19000-145-202</t>
  </si>
  <si>
    <t>DIRECTOR DE SOFTWARE ( E)</t>
  </si>
  <si>
    <t>RECURSOS HUMANOS</t>
  </si>
  <si>
    <t>101.243.917-6</t>
  </si>
  <si>
    <t>JUAN ANTONIO URIBE URIBE</t>
  </si>
  <si>
    <t>0211320108_0005</t>
  </si>
  <si>
    <t>MANTENIMIENTO DEL SOFTWARE</t>
  </si>
  <si>
    <t>SOFT SAS</t>
  </si>
  <si>
    <t>SEBAS</t>
  </si>
  <si>
    <t>CONTRATO TEMPORAL</t>
  </si>
  <si>
    <t>1-9000-160-2025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</si>
</sst>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3"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sz val="10"/>
      <name val="Calibri"/>
      <family val="2"/>
    </font>
    <font>
      <b/>
      <u/>
      <sz val="10"/>
      <name val="Calibri"/>
      <family val="2"/>
    </font>
    <font>
      <u/>
      <sz val="8"/>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08">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18"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3" fillId="2" borderId="0" xfId="0" applyFont="1" applyFill="1" applyAlignment="1">
      <alignment horizontal="center" vertical="center"/>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3" fillId="0" borderId="27" xfId="0" applyFont="1" applyBorder="1" applyAlignment="1">
      <alignment horizontal="center" vertical="center"/>
    </xf>
    <xf numFmtId="0" fontId="3" fillId="0" borderId="41" xfId="0" applyFont="1" applyBorder="1" applyAlignment="1">
      <alignment horizontal="center" vertical="center"/>
    </xf>
    <xf numFmtId="0" fontId="3" fillId="2" borderId="0" xfId="0" applyFont="1" applyFill="1" applyAlignment="1">
      <alignment horizontal="center" vertical="center" wrapText="1"/>
    </xf>
    <xf numFmtId="0" fontId="3" fillId="0" borderId="13" xfId="0" applyFont="1" applyBorder="1" applyAlignment="1">
      <alignment horizontal="center"/>
    </xf>
    <xf numFmtId="15" fontId="4" fillId="5" borderId="28" xfId="0" applyNumberFormat="1" applyFont="1" applyFill="1" applyBorder="1" applyAlignment="1">
      <alignment horizontal="center" vertical="center"/>
    </xf>
    <xf numFmtId="0" fontId="4" fillId="5" borderId="28" xfId="0" applyFont="1" applyFill="1" applyBorder="1" applyAlignment="1">
      <alignment horizontal="center" vertic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5" fillId="4" borderId="26" xfId="0" applyFont="1" applyFill="1" applyBorder="1" applyAlignment="1">
      <alignment horizontal="left" vertical="center"/>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0" fontId="3" fillId="5" borderId="27" xfId="0" applyFont="1" applyFill="1" applyBorder="1" applyAlignment="1">
      <alignment horizontal="center" vertical="center"/>
    </xf>
    <xf numFmtId="0" fontId="3" fillId="5" borderId="41" xfId="0" applyFont="1" applyFill="1" applyBorder="1" applyAlignment="1">
      <alignment horizontal="center" vertical="center"/>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4" fillId="4" borderId="28" xfId="0" applyFont="1" applyFill="1" applyBorder="1" applyAlignment="1">
      <alignment horizontal="center" vertical="center"/>
    </xf>
    <xf numFmtId="0" fontId="4" fillId="4" borderId="77" xfId="0" applyFont="1" applyFill="1" applyBorder="1" applyAlignment="1">
      <alignment horizontal="center" vertical="center"/>
    </xf>
    <xf numFmtId="0" fontId="4" fillId="0" borderId="8" xfId="0" applyFont="1" applyBorder="1" applyAlignment="1">
      <alignment horizontal="center" vertical="center"/>
    </xf>
    <xf numFmtId="0" fontId="3" fillId="0" borderId="13" xfId="0" applyFont="1" applyBorder="1" applyAlignment="1">
      <alignment horizontal="center" vertic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0" fontId="16" fillId="0" borderId="1"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0" xfId="0" applyFont="1" applyAlignment="1">
      <alignment horizontal="center" vertical="center" wrapText="1"/>
    </xf>
    <xf numFmtId="0" fontId="16" fillId="0" borderId="49"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4" fillId="5" borderId="30" xfId="0" applyFont="1" applyFill="1" applyBorder="1" applyAlignment="1">
      <alignment horizontal="left" vertical="center"/>
    </xf>
    <xf numFmtId="0" fontId="4" fillId="5" borderId="31" xfId="0" applyFont="1" applyFill="1" applyBorder="1" applyAlignment="1">
      <alignment horizontal="left" vertical="center"/>
    </xf>
    <xf numFmtId="0" fontId="4" fillId="5" borderId="8" xfId="0" applyFont="1" applyFill="1" applyBorder="1" applyAlignment="1">
      <alignment horizontal="left" vertical="center"/>
    </xf>
    <xf numFmtId="0" fontId="16" fillId="0" borderId="0" xfId="0" applyFont="1" applyAlignment="1">
      <alignment horizontal="center" wrapText="1"/>
    </xf>
    <xf numFmtId="0" fontId="4" fillId="5" borderId="29" xfId="0" applyFont="1" applyFill="1" applyBorder="1" applyAlignment="1">
      <alignment horizontal="left" vertical="center"/>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0" fontId="4" fillId="0" borderId="8" xfId="0" applyFont="1" applyBorder="1" applyAlignment="1">
      <alignment horizontal="left" vertical="center"/>
    </xf>
    <xf numFmtId="0" fontId="4" fillId="0" borderId="30" xfId="0" applyFont="1" applyBorder="1" applyAlignment="1">
      <alignment horizontal="left" vertical="center"/>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15" fontId="4" fillId="5" borderId="8"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0" fontId="3" fillId="5" borderId="13"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2" xfId="0" applyFont="1" applyFill="1" applyBorder="1" applyAlignment="1">
      <alignment horizontal="right" vertical="center"/>
    </xf>
    <xf numFmtId="0" fontId="2" fillId="5" borderId="55" xfId="0" applyFont="1" applyFill="1" applyBorder="1" applyAlignment="1">
      <alignment horizontal="right"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5" fontId="4" fillId="5" borderId="11"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0" fontId="4" fillId="5" borderId="34" xfId="0" applyFont="1" applyFill="1" applyBorder="1" applyAlignment="1">
      <alignment horizontal="left"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4" fillId="5" borderId="26" xfId="0" applyFont="1" applyFill="1" applyBorder="1" applyAlignment="1">
      <alignment horizontal="left"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0" fontId="3" fillId="0" borderId="49" xfId="0" applyFont="1" applyBorder="1" applyAlignment="1">
      <alignment horizontal="center" vertical="center"/>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4" fillId="5" borderId="18" xfId="0" applyFont="1" applyFill="1" applyBorder="1" applyAlignment="1">
      <alignment horizontal="center" vertical="center"/>
    </xf>
    <xf numFmtId="0" fontId="11" fillId="0" borderId="0" xfId="0" applyFont="1" applyAlignment="1">
      <alignment horizontal="center" vertical="center"/>
    </xf>
    <xf numFmtId="0" fontId="31" fillId="5" borderId="0" xfId="0" applyFont="1" applyFill="1" applyAlignment="1">
      <alignment horizontal="left" vertical="center"/>
    </xf>
    <xf numFmtId="0" fontId="3" fillId="5" borderId="0" xfId="0" applyFont="1" applyFill="1" applyAlignment="1">
      <alignment horizontal="left" vertical="center"/>
    </xf>
    <xf numFmtId="0" fontId="30" fillId="5" borderId="18" xfId="0" applyFont="1" applyFill="1" applyBorder="1" applyAlignment="1">
      <alignment horizontal="center" vertical="center"/>
    </xf>
    <xf numFmtId="3" fontId="5" fillId="5" borderId="18" xfId="0" applyNumberFormat="1"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15" fontId="4" fillId="5" borderId="9"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0" fontId="4" fillId="5" borderId="1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3" xfId="0" applyFont="1" applyFill="1" applyBorder="1" applyAlignment="1">
      <alignment horizontal="right" vertical="center"/>
    </xf>
    <xf numFmtId="0" fontId="4" fillId="5" borderId="45" xfId="0" applyFont="1" applyFill="1" applyBorder="1" applyAlignment="1">
      <alignment horizontal="righ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15" fontId="4" fillId="5" borderId="36"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0" fontId="3" fillId="5" borderId="49" xfId="0" applyFont="1" applyFill="1" applyBorder="1" applyAlignment="1">
      <alignment horizontal="center" vertical="center"/>
    </xf>
    <xf numFmtId="0" fontId="3" fillId="5" borderId="3" xfId="0" applyFont="1" applyFill="1" applyBorder="1" applyAlignment="1">
      <alignment horizontal="center"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30" fillId="5" borderId="26" xfId="0" applyFont="1" applyFill="1" applyBorder="1" applyAlignment="1">
      <alignment horizontal="left" vertical="center"/>
    </xf>
    <xf numFmtId="0" fontId="30" fillId="5" borderId="31" xfId="0" applyFont="1" applyFill="1" applyBorder="1" applyAlignment="1">
      <alignment horizontal="left" vertical="center"/>
    </xf>
    <xf numFmtId="0" fontId="3" fillId="5" borderId="45" xfId="0" applyFont="1" applyFill="1" applyBorder="1" applyAlignment="1">
      <alignment horizontal="center"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5" xfId="0" applyFont="1" applyFill="1" applyBorder="1" applyAlignment="1">
      <alignment horizontal="left"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32" fillId="5" borderId="33" xfId="0" applyFont="1" applyFill="1" applyBorder="1" applyAlignment="1">
      <alignment horizontal="left" vertical="center"/>
    </xf>
    <xf numFmtId="0" fontId="32" fillId="5" borderId="34" xfId="0" applyFont="1" applyFill="1" applyBorder="1" applyAlignment="1">
      <alignment horizontal="left" vertical="center"/>
    </xf>
    <xf numFmtId="0" fontId="3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15" fontId="4" fillId="5" borderId="30" xfId="0"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0" fontId="4" fillId="5" borderId="32" xfId="0" applyFont="1" applyFill="1" applyBorder="1" applyAlignment="1">
      <alignment horizontal="left" vertical="center"/>
    </xf>
    <xf numFmtId="0" fontId="30" fillId="5" borderId="8" xfId="0" applyFont="1" applyFill="1" applyBorder="1" applyAlignment="1">
      <alignment horizontal="center" vertical="center"/>
    </xf>
    <xf numFmtId="0" fontId="4" fillId="5" borderId="33"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5" xfId="0" applyFont="1" applyBorder="1" applyAlignment="1">
      <alignment horizontal="center" vertical="center" wrapText="1"/>
    </xf>
    <xf numFmtId="165" fontId="4" fillId="5" borderId="33" xfId="1" applyNumberFormat="1" applyFont="1" applyFill="1" applyBorder="1" applyAlignment="1">
      <alignment horizontal="left" vertical="center"/>
    </xf>
    <xf numFmtId="165" fontId="4" fillId="5" borderId="34" xfId="1" applyNumberFormat="1" applyFont="1" applyFill="1" applyBorder="1" applyAlignment="1">
      <alignment horizontal="left" vertical="center"/>
    </xf>
    <xf numFmtId="165" fontId="4"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3" fillId="0" borderId="13"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3" fillId="0" borderId="27" xfId="0" applyFont="1" applyBorder="1" applyAlignment="1">
      <alignment horizontal="center" vertical="center" wrapText="1"/>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topLeftCell="A47" zoomScaleNormal="100" zoomScaleSheetLayoutView="100" zoomScalePageLayoutView="70" workbookViewId="0">
      <selection activeCell="I63" sqref="I63:M63"/>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284" t="s">
        <v>56</v>
      </c>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36"/>
      <c r="AM2" s="17"/>
      <c r="AN2" s="26" t="s">
        <v>43</v>
      </c>
      <c r="AO2" s="276">
        <v>16</v>
      </c>
      <c r="AP2" s="277"/>
      <c r="AQ2" s="273">
        <v>1</v>
      </c>
      <c r="AR2" s="275"/>
      <c r="AS2" s="273">
        <v>2026</v>
      </c>
      <c r="AT2" s="274"/>
      <c r="AU2" s="14"/>
    </row>
    <row r="3" spans="1:47" ht="12.65" customHeight="1" x14ac:dyDescent="0.35">
      <c r="A3" s="13"/>
      <c r="B3" s="17"/>
      <c r="C3" s="17"/>
      <c r="D3" s="17"/>
      <c r="E3" s="17"/>
      <c r="F3" s="17"/>
      <c r="G3" s="17"/>
      <c r="H3" s="17"/>
      <c r="I3" s="17"/>
      <c r="J3" s="284"/>
      <c r="K3" s="284"/>
      <c r="L3" s="284"/>
      <c r="M3" s="284"/>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132" t="s">
        <v>0</v>
      </c>
      <c r="C5" s="132"/>
      <c r="D5" s="132"/>
      <c r="E5" s="132"/>
      <c r="F5" s="132"/>
      <c r="G5" s="132"/>
      <c r="H5" s="132"/>
      <c r="I5" s="132"/>
      <c r="J5" s="132"/>
      <c r="K5" s="132"/>
      <c r="L5" s="132"/>
      <c r="M5" s="132"/>
      <c r="N5" s="132"/>
      <c r="O5" s="132"/>
      <c r="P5" s="132"/>
      <c r="Q5" s="132"/>
      <c r="R5" s="132"/>
      <c r="S5" s="132"/>
      <c r="T5" s="132"/>
      <c r="U5" s="132"/>
      <c r="V5" s="132"/>
      <c r="W5" s="132"/>
      <c r="X5" s="132"/>
      <c r="Y5" s="132"/>
      <c r="Z5" s="132"/>
      <c r="AA5" s="132"/>
      <c r="AB5" s="132"/>
      <c r="AC5" s="132"/>
      <c r="AD5" s="132"/>
      <c r="AE5" s="132"/>
      <c r="AF5" s="132"/>
      <c r="AG5" s="132"/>
      <c r="AH5" s="132"/>
      <c r="AI5" s="132"/>
      <c r="AJ5" s="132"/>
      <c r="AK5" s="132"/>
      <c r="AL5" s="132"/>
      <c r="AM5" s="132"/>
      <c r="AN5" s="132"/>
      <c r="AO5" s="132"/>
      <c r="AP5" s="132"/>
      <c r="AQ5" s="132"/>
      <c r="AR5" s="132"/>
      <c r="AS5" s="132"/>
      <c r="AT5" s="132"/>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86" t="s">
        <v>57</v>
      </c>
      <c r="C7" s="286"/>
      <c r="D7" s="286"/>
      <c r="E7" s="286"/>
      <c r="F7" s="286"/>
      <c r="G7" s="286"/>
      <c r="H7" s="286"/>
      <c r="I7" s="287" t="s">
        <v>148</v>
      </c>
      <c r="J7" s="287"/>
      <c r="K7" s="287"/>
      <c r="L7" s="287"/>
      <c r="M7" s="287"/>
      <c r="N7" s="287"/>
      <c r="O7" s="287"/>
      <c r="P7" s="287"/>
      <c r="Q7" s="287"/>
      <c r="R7" s="287"/>
      <c r="S7" s="287"/>
      <c r="T7" s="287"/>
      <c r="U7" s="287"/>
      <c r="V7" s="287"/>
      <c r="W7" s="287"/>
      <c r="X7" s="287"/>
      <c r="Y7" s="287"/>
      <c r="Z7" s="287"/>
      <c r="AA7" s="287"/>
      <c r="AB7" s="287"/>
      <c r="AC7" s="61"/>
      <c r="AD7" s="286" t="s">
        <v>5</v>
      </c>
      <c r="AE7" s="286"/>
      <c r="AF7" s="286"/>
      <c r="AG7" s="286"/>
      <c r="AH7" s="286"/>
      <c r="AI7" s="286"/>
      <c r="AJ7" s="286"/>
      <c r="AK7" s="280" t="s">
        <v>142</v>
      </c>
      <c r="AL7" s="280"/>
      <c r="AM7" s="280"/>
      <c r="AN7" s="280"/>
      <c r="AO7" s="280"/>
      <c r="AP7" s="280"/>
      <c r="AQ7" s="280"/>
      <c r="AR7" s="280"/>
      <c r="AS7" s="280"/>
      <c r="AT7" s="280"/>
      <c r="AU7" s="62"/>
    </row>
    <row r="8" spans="1:47" s="63" customFormat="1" ht="12.65" customHeight="1" x14ac:dyDescent="0.35">
      <c r="A8" s="59"/>
      <c r="B8" s="286" t="s">
        <v>1</v>
      </c>
      <c r="C8" s="286"/>
      <c r="D8" s="286"/>
      <c r="E8" s="286"/>
      <c r="F8" s="286"/>
      <c r="G8" s="286"/>
      <c r="H8" s="286"/>
      <c r="I8" s="283" t="s">
        <v>150</v>
      </c>
      <c r="J8" s="283"/>
      <c r="K8" s="283"/>
      <c r="L8" s="283"/>
      <c r="M8" s="283"/>
      <c r="N8" s="283"/>
      <c r="O8" s="283"/>
      <c r="P8" s="283"/>
      <c r="Q8" s="283"/>
      <c r="R8" s="283"/>
      <c r="S8" s="283"/>
      <c r="T8" s="283"/>
      <c r="U8" s="283"/>
      <c r="V8" s="283"/>
      <c r="W8" s="283"/>
      <c r="X8" s="283"/>
      <c r="Y8" s="283"/>
      <c r="Z8" s="283"/>
      <c r="AA8" s="283"/>
      <c r="AB8" s="283"/>
      <c r="AC8" s="64"/>
      <c r="AD8" s="281" t="s">
        <v>73</v>
      </c>
      <c r="AE8" s="281"/>
      <c r="AF8" s="281"/>
      <c r="AG8" s="281"/>
      <c r="AH8" s="281"/>
      <c r="AI8" s="281"/>
      <c r="AJ8" s="282"/>
      <c r="AK8" s="278" t="s">
        <v>149</v>
      </c>
      <c r="AL8" s="278"/>
      <c r="AM8" s="278"/>
      <c r="AN8" s="278"/>
      <c r="AO8" s="278"/>
      <c r="AP8" s="278"/>
      <c r="AQ8" s="278"/>
      <c r="AR8" s="278"/>
      <c r="AS8" s="278"/>
      <c r="AT8" s="279"/>
      <c r="AU8" s="62"/>
    </row>
    <row r="9" spans="1:47" s="63" customFormat="1" ht="12.65" customHeight="1" x14ac:dyDescent="0.35">
      <c r="A9" s="59"/>
      <c r="B9" s="286" t="s">
        <v>2</v>
      </c>
      <c r="C9" s="286"/>
      <c r="D9" s="286"/>
      <c r="E9" s="286"/>
      <c r="F9" s="286"/>
      <c r="G9" s="286"/>
      <c r="H9" s="286"/>
      <c r="I9" s="287" t="s">
        <v>147</v>
      </c>
      <c r="J9" s="287"/>
      <c r="K9" s="287"/>
      <c r="L9" s="287"/>
      <c r="M9" s="287"/>
      <c r="N9" s="287"/>
      <c r="O9" s="287"/>
      <c r="P9" s="287"/>
      <c r="Q9" s="287"/>
      <c r="R9" s="287"/>
      <c r="S9" s="287"/>
      <c r="T9" s="287"/>
      <c r="U9" s="287"/>
      <c r="V9" s="287"/>
      <c r="W9" s="287"/>
      <c r="X9" s="287"/>
      <c r="Y9" s="287"/>
      <c r="Z9" s="287"/>
      <c r="AA9" s="287"/>
      <c r="AB9" s="287"/>
      <c r="AC9" s="64"/>
      <c r="AD9" s="65" t="s">
        <v>34</v>
      </c>
      <c r="AE9" s="66" t="s">
        <v>100</v>
      </c>
      <c r="AF9" s="67"/>
      <c r="AG9" s="68" t="s">
        <v>13</v>
      </c>
      <c r="AH9" s="66"/>
      <c r="AI9" s="289" t="s">
        <v>3</v>
      </c>
      <c r="AJ9" s="290"/>
      <c r="AK9" s="288" t="s">
        <v>143</v>
      </c>
      <c r="AL9" s="278"/>
      <c r="AM9" s="278"/>
      <c r="AN9" s="278"/>
      <c r="AO9" s="278"/>
      <c r="AP9" s="278"/>
      <c r="AQ9" s="278"/>
      <c r="AR9" s="278"/>
      <c r="AS9" s="278"/>
      <c r="AT9" s="279"/>
      <c r="AU9" s="62"/>
    </row>
    <row r="10" spans="1:47" s="63" customFormat="1" ht="12.65" customHeight="1" x14ac:dyDescent="0.3">
      <c r="A10" s="59"/>
      <c r="B10" s="286" t="s">
        <v>4</v>
      </c>
      <c r="C10" s="286"/>
      <c r="D10" s="286"/>
      <c r="E10" s="286"/>
      <c r="F10" s="286"/>
      <c r="G10" s="286"/>
      <c r="H10" s="286"/>
      <c r="I10" s="287" t="s">
        <v>144</v>
      </c>
      <c r="J10" s="287"/>
      <c r="K10" s="287"/>
      <c r="L10" s="287"/>
      <c r="M10" s="287"/>
      <c r="N10" s="287"/>
      <c r="O10" s="287"/>
      <c r="P10" s="287"/>
      <c r="Q10" s="287"/>
      <c r="R10" s="287"/>
      <c r="S10" s="287"/>
      <c r="T10" s="287"/>
      <c r="U10" s="287"/>
      <c r="V10" s="287"/>
      <c r="W10" s="287"/>
      <c r="X10" s="287"/>
      <c r="Y10" s="287"/>
      <c r="Z10" s="287"/>
      <c r="AA10" s="287"/>
      <c r="AB10" s="287"/>
      <c r="AC10" s="64"/>
      <c r="AD10" s="67"/>
      <c r="AE10" s="67"/>
      <c r="AF10" s="67"/>
      <c r="AG10" s="68" t="s">
        <v>13</v>
      </c>
      <c r="AH10" s="70" t="s">
        <v>100</v>
      </c>
      <c r="AI10" s="290" t="s">
        <v>3</v>
      </c>
      <c r="AJ10" s="290"/>
      <c r="AK10" s="288">
        <v>94402876</v>
      </c>
      <c r="AL10" s="278"/>
      <c r="AM10" s="278"/>
      <c r="AN10" s="278"/>
      <c r="AO10" s="278"/>
      <c r="AP10" s="278"/>
      <c r="AQ10" s="278"/>
      <c r="AR10" s="278"/>
      <c r="AS10" s="278"/>
      <c r="AT10" s="279"/>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85" t="s">
        <v>33</v>
      </c>
      <c r="C13" s="285"/>
      <c r="D13" s="285"/>
      <c r="E13" s="285"/>
      <c r="F13" s="285"/>
      <c r="G13" s="285"/>
      <c r="H13" s="285"/>
      <c r="I13" s="291" t="s">
        <v>102</v>
      </c>
      <c r="J13" s="292"/>
      <c r="K13" s="292"/>
      <c r="L13" s="292"/>
      <c r="M13" s="292"/>
      <c r="N13" s="292"/>
      <c r="O13" s="292"/>
      <c r="P13" s="292"/>
      <c r="Q13" s="292"/>
      <c r="R13" s="292"/>
      <c r="S13" s="292"/>
      <c r="T13" s="292"/>
      <c r="U13" s="292"/>
      <c r="V13" s="292"/>
      <c r="W13" s="292"/>
      <c r="X13" s="292"/>
      <c r="Y13" s="292"/>
      <c r="Z13" s="292"/>
      <c r="AA13" s="292"/>
      <c r="AB13" s="292"/>
      <c r="AC13" s="292"/>
      <c r="AD13" s="292"/>
      <c r="AE13" s="292"/>
      <c r="AF13" s="292"/>
      <c r="AG13" s="292"/>
      <c r="AH13" s="292"/>
      <c r="AI13" s="292"/>
      <c r="AJ13" s="292"/>
      <c r="AK13" s="292"/>
      <c r="AL13" s="292"/>
      <c r="AM13" s="292"/>
      <c r="AN13" s="292"/>
      <c r="AO13" s="292"/>
      <c r="AP13" s="292"/>
      <c r="AQ13" s="292"/>
      <c r="AR13" s="292"/>
      <c r="AS13" s="292"/>
      <c r="AT13" s="293"/>
      <c r="AU13" s="62"/>
    </row>
    <row r="14" spans="1:47" s="63" customFormat="1" ht="25" customHeight="1" x14ac:dyDescent="0.35">
      <c r="A14" s="59"/>
      <c r="B14" s="60"/>
      <c r="C14" s="60"/>
      <c r="D14" s="60"/>
      <c r="E14" s="60"/>
      <c r="F14" s="60"/>
      <c r="G14" s="60"/>
      <c r="H14" s="60"/>
      <c r="I14" s="294"/>
      <c r="J14" s="295"/>
      <c r="K14" s="295"/>
      <c r="L14" s="295"/>
      <c r="M14" s="295"/>
      <c r="N14" s="295"/>
      <c r="O14" s="295"/>
      <c r="P14" s="295"/>
      <c r="Q14" s="295"/>
      <c r="R14" s="295"/>
      <c r="S14" s="295"/>
      <c r="T14" s="295"/>
      <c r="U14" s="295"/>
      <c r="V14" s="295"/>
      <c r="W14" s="295"/>
      <c r="X14" s="295"/>
      <c r="Y14" s="295"/>
      <c r="Z14" s="295"/>
      <c r="AA14" s="295"/>
      <c r="AB14" s="295"/>
      <c r="AC14" s="295"/>
      <c r="AD14" s="295"/>
      <c r="AE14" s="295"/>
      <c r="AF14" s="295"/>
      <c r="AG14" s="295"/>
      <c r="AH14" s="295"/>
      <c r="AI14" s="295"/>
      <c r="AJ14" s="295"/>
      <c r="AK14" s="295"/>
      <c r="AL14" s="295"/>
      <c r="AM14" s="295"/>
      <c r="AN14" s="295"/>
      <c r="AO14" s="295"/>
      <c r="AP14" s="295"/>
      <c r="AQ14" s="295"/>
      <c r="AR14" s="295"/>
      <c r="AS14" s="295"/>
      <c r="AT14" s="296"/>
      <c r="AU14" s="62"/>
    </row>
    <row r="15" spans="1:47" s="63" customFormat="1" ht="32.5" customHeight="1" x14ac:dyDescent="0.35">
      <c r="A15" s="59"/>
      <c r="B15" s="60"/>
      <c r="C15" s="60"/>
      <c r="D15" s="60"/>
      <c r="E15" s="60"/>
      <c r="F15" s="60"/>
      <c r="G15" s="60"/>
      <c r="H15" s="60"/>
      <c r="I15" s="297"/>
      <c r="J15" s="298"/>
      <c r="K15" s="298"/>
      <c r="L15" s="298"/>
      <c r="M15" s="298"/>
      <c r="N15" s="298"/>
      <c r="O15" s="298"/>
      <c r="P15" s="298"/>
      <c r="Q15" s="298"/>
      <c r="R15" s="298"/>
      <c r="S15" s="298"/>
      <c r="T15" s="298"/>
      <c r="U15" s="298"/>
      <c r="V15" s="298"/>
      <c r="W15" s="298"/>
      <c r="X15" s="298"/>
      <c r="Y15" s="298"/>
      <c r="Z15" s="298"/>
      <c r="AA15" s="298"/>
      <c r="AB15" s="298"/>
      <c r="AC15" s="298"/>
      <c r="AD15" s="298"/>
      <c r="AE15" s="298"/>
      <c r="AF15" s="298"/>
      <c r="AG15" s="298"/>
      <c r="AH15" s="298"/>
      <c r="AI15" s="298"/>
      <c r="AJ15" s="298"/>
      <c r="AK15" s="298"/>
      <c r="AL15" s="298"/>
      <c r="AM15" s="298"/>
      <c r="AN15" s="298"/>
      <c r="AO15" s="298"/>
      <c r="AP15" s="298"/>
      <c r="AQ15" s="298"/>
      <c r="AR15" s="298"/>
      <c r="AS15" s="298"/>
      <c r="AT15" s="299"/>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86" t="s">
        <v>44</v>
      </c>
      <c r="C17" s="286"/>
      <c r="D17" s="286"/>
      <c r="E17" s="286"/>
      <c r="F17" s="286"/>
      <c r="G17" s="286"/>
      <c r="H17" s="286"/>
      <c r="I17" s="286"/>
      <c r="J17" s="286"/>
      <c r="K17" s="286"/>
      <c r="L17" s="286"/>
      <c r="M17" s="286" t="s">
        <v>45</v>
      </c>
      <c r="N17" s="286"/>
      <c r="O17" s="286"/>
      <c r="P17" s="286"/>
      <c r="Q17" s="286"/>
      <c r="R17" s="328"/>
      <c r="S17" s="333">
        <v>28</v>
      </c>
      <c r="T17" s="334"/>
      <c r="U17" s="325">
        <v>4</v>
      </c>
      <c r="V17" s="326"/>
      <c r="W17" s="325">
        <v>2025</v>
      </c>
      <c r="X17" s="327"/>
      <c r="Y17" s="61"/>
      <c r="Z17" s="286" t="s">
        <v>46</v>
      </c>
      <c r="AA17" s="286"/>
      <c r="AB17" s="286"/>
      <c r="AC17" s="286"/>
      <c r="AD17" s="328"/>
      <c r="AE17" s="333">
        <v>5</v>
      </c>
      <c r="AF17" s="334"/>
      <c r="AG17" s="325">
        <v>5</v>
      </c>
      <c r="AH17" s="326"/>
      <c r="AI17" s="325">
        <v>2028</v>
      </c>
      <c r="AJ17" s="327"/>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132" t="s">
        <v>25</v>
      </c>
      <c r="C20" s="132"/>
      <c r="D20" s="132"/>
      <c r="E20" s="132"/>
      <c r="F20" s="132"/>
      <c r="G20" s="132"/>
      <c r="H20" s="132"/>
      <c r="I20" s="132"/>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H20" s="132"/>
      <c r="AI20" s="132"/>
      <c r="AJ20" s="132"/>
      <c r="AK20" s="132"/>
      <c r="AL20" s="132"/>
      <c r="AM20" s="132"/>
      <c r="AN20" s="132"/>
      <c r="AO20" s="132"/>
      <c r="AP20" s="132"/>
      <c r="AQ20" s="132"/>
      <c r="AR20" s="132"/>
      <c r="AS20" s="132"/>
      <c r="AT20" s="132"/>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69" t="s">
        <v>66</v>
      </c>
      <c r="C22" s="169"/>
      <c r="D22" s="169"/>
      <c r="E22" s="169"/>
      <c r="F22" s="169"/>
      <c r="G22" s="169"/>
      <c r="H22" s="169"/>
      <c r="I22" s="169"/>
      <c r="J22" s="169"/>
      <c r="K22" s="169"/>
      <c r="L22" s="169"/>
      <c r="M22" s="169"/>
      <c r="N22" s="169"/>
      <c r="O22" s="169"/>
      <c r="P22" s="169"/>
      <c r="Q22" s="169"/>
      <c r="R22" s="169"/>
      <c r="S22" s="169"/>
      <c r="T22" s="169"/>
      <c r="U22" s="169"/>
      <c r="V22" s="169"/>
      <c r="W22" s="169"/>
      <c r="X22" s="169"/>
      <c r="Y22" s="169"/>
      <c r="Z22" s="169"/>
      <c r="AA22" s="169"/>
      <c r="AB22" s="169"/>
      <c r="AC22" s="169"/>
      <c r="AD22" s="169"/>
      <c r="AE22" s="169"/>
      <c r="AF22" s="169"/>
      <c r="AG22" s="169"/>
      <c r="AH22" s="169"/>
      <c r="AI22" s="169"/>
      <c r="AJ22" s="169"/>
      <c r="AK22" s="169"/>
      <c r="AL22" s="169"/>
      <c r="AM22" s="169"/>
      <c r="AN22" s="169"/>
      <c r="AO22" s="169"/>
      <c r="AP22" s="169"/>
      <c r="AQ22" s="169"/>
      <c r="AR22" s="169"/>
      <c r="AS22" s="169"/>
      <c r="AT22" s="169"/>
      <c r="AU22" s="14"/>
    </row>
    <row r="23" spans="1:47" s="63" customFormat="1" ht="12.65" customHeight="1" thickBot="1" x14ac:dyDescent="0.4">
      <c r="A23" s="59"/>
      <c r="B23" s="337" t="s">
        <v>67</v>
      </c>
      <c r="C23" s="230"/>
      <c r="D23" s="230"/>
      <c r="E23" s="230"/>
      <c r="F23" s="230"/>
      <c r="G23" s="231"/>
      <c r="H23" s="229" t="s">
        <v>19</v>
      </c>
      <c r="I23" s="230"/>
      <c r="J23" s="230"/>
      <c r="K23" s="230"/>
      <c r="L23" s="230"/>
      <c r="M23" s="230"/>
      <c r="N23" s="230"/>
      <c r="O23" s="230"/>
      <c r="P23" s="230"/>
      <c r="Q23" s="230"/>
      <c r="R23" s="230"/>
      <c r="S23" s="230"/>
      <c r="T23" s="230"/>
      <c r="U23" s="230"/>
      <c r="V23" s="231"/>
      <c r="W23" s="229" t="s">
        <v>24</v>
      </c>
      <c r="X23" s="230"/>
      <c r="Y23" s="230"/>
      <c r="Z23" s="230"/>
      <c r="AA23" s="230"/>
      <c r="AB23" s="231"/>
      <c r="AC23" s="229" t="s">
        <v>47</v>
      </c>
      <c r="AD23" s="230"/>
      <c r="AE23" s="230"/>
      <c r="AF23" s="230"/>
      <c r="AG23" s="231"/>
      <c r="AH23" s="229" t="s">
        <v>27</v>
      </c>
      <c r="AI23" s="230"/>
      <c r="AJ23" s="230"/>
      <c r="AK23" s="230"/>
      <c r="AL23" s="230"/>
      <c r="AM23" s="322"/>
      <c r="AN23" s="337" t="s">
        <v>11</v>
      </c>
      <c r="AO23" s="230"/>
      <c r="AP23" s="230"/>
      <c r="AQ23" s="230"/>
      <c r="AR23" s="230"/>
      <c r="AS23" s="230"/>
      <c r="AT23" s="322"/>
      <c r="AU23" s="62"/>
    </row>
    <row r="24" spans="1:47" s="63" customFormat="1" ht="12.65" customHeight="1" thickBot="1" x14ac:dyDescent="0.4">
      <c r="A24" s="59"/>
      <c r="B24" s="338">
        <v>45957</v>
      </c>
      <c r="C24" s="308"/>
      <c r="D24" s="308"/>
      <c r="E24" s="308"/>
      <c r="F24" s="308"/>
      <c r="G24" s="310"/>
      <c r="H24" s="307" t="s">
        <v>104</v>
      </c>
      <c r="I24" s="308"/>
      <c r="J24" s="308"/>
      <c r="K24" s="308"/>
      <c r="L24" s="308"/>
      <c r="M24" s="308"/>
      <c r="N24" s="308"/>
      <c r="O24" s="308"/>
      <c r="P24" s="308"/>
      <c r="Q24" s="74"/>
      <c r="R24" s="74"/>
      <c r="S24" s="74"/>
      <c r="T24" s="74"/>
      <c r="U24" s="75" t="s">
        <v>42</v>
      </c>
      <c r="V24" s="76"/>
      <c r="W24" s="309">
        <v>45961</v>
      </c>
      <c r="X24" s="308"/>
      <c r="Y24" s="308"/>
      <c r="Z24" s="308"/>
      <c r="AA24" s="308"/>
      <c r="AB24" s="310"/>
      <c r="AC24" s="77" t="s">
        <v>28</v>
      </c>
      <c r="AD24" s="78" t="s">
        <v>100</v>
      </c>
      <c r="AE24" s="77"/>
      <c r="AF24" s="77" t="s">
        <v>21</v>
      </c>
      <c r="AG24" s="78"/>
      <c r="AH24" s="309">
        <v>46387</v>
      </c>
      <c r="AI24" s="308"/>
      <c r="AJ24" s="308"/>
      <c r="AK24" s="308"/>
      <c r="AL24" s="308"/>
      <c r="AM24" s="311"/>
      <c r="AN24" s="304">
        <v>386128219</v>
      </c>
      <c r="AO24" s="305"/>
      <c r="AP24" s="305"/>
      <c r="AQ24" s="305"/>
      <c r="AR24" s="305"/>
      <c r="AS24" s="305"/>
      <c r="AT24" s="306"/>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2"/>
      <c r="AF25" s="2"/>
      <c r="AG25" s="2"/>
      <c r="AH25" s="2"/>
      <c r="AI25" s="2"/>
      <c r="AJ25" s="2"/>
      <c r="AK25" s="2"/>
      <c r="AL25" s="2"/>
      <c r="AM25" s="2"/>
      <c r="AN25" s="2"/>
      <c r="AO25" s="2"/>
      <c r="AP25" s="2"/>
      <c r="AQ25" s="2"/>
      <c r="AR25" s="2"/>
      <c r="AS25" s="2"/>
      <c r="AT25" s="2"/>
      <c r="AU25" s="14"/>
    </row>
    <row r="26" spans="1:47" s="63" customFormat="1" ht="12.65" customHeight="1" thickBot="1" x14ac:dyDescent="0.4">
      <c r="A26" s="59"/>
      <c r="B26" s="243" t="s">
        <v>26</v>
      </c>
      <c r="C26" s="243"/>
      <c r="D26" s="243"/>
      <c r="E26" s="243"/>
      <c r="F26" s="243"/>
      <c r="G26" s="243"/>
      <c r="H26" s="243"/>
      <c r="I26" s="243"/>
      <c r="J26" s="243"/>
      <c r="K26" s="243"/>
      <c r="L26" s="243"/>
      <c r="M26" s="243"/>
      <c r="N26" s="243"/>
      <c r="O26" s="243"/>
      <c r="P26" s="243"/>
      <c r="Q26" s="243"/>
      <c r="R26" s="243"/>
      <c r="S26" s="243"/>
      <c r="T26" s="243"/>
      <c r="U26" s="243"/>
      <c r="V26" s="243"/>
      <c r="W26" s="243"/>
      <c r="X26" s="243"/>
      <c r="Y26" s="243"/>
      <c r="Z26" s="243"/>
      <c r="AA26" s="243"/>
      <c r="AB26" s="243"/>
      <c r="AC26" s="243"/>
      <c r="AD26" s="243"/>
      <c r="AE26" s="243"/>
      <c r="AF26" s="243"/>
      <c r="AG26" s="243"/>
      <c r="AH26" s="243"/>
      <c r="AI26" s="243"/>
      <c r="AJ26" s="243"/>
      <c r="AK26" s="243"/>
      <c r="AL26" s="243"/>
      <c r="AM26" s="243"/>
      <c r="AN26" s="243"/>
      <c r="AO26" s="243"/>
      <c r="AP26" s="243"/>
      <c r="AQ26" s="243"/>
      <c r="AR26" s="243"/>
      <c r="AS26" s="243"/>
      <c r="AT26" s="243"/>
      <c r="AU26" s="62"/>
    </row>
    <row r="27" spans="1:47" s="63" customFormat="1" ht="12.65" customHeight="1" thickBot="1" x14ac:dyDescent="0.4">
      <c r="A27" s="59"/>
      <c r="B27" s="79" t="s">
        <v>21</v>
      </c>
      <c r="C27" s="227" t="s">
        <v>67</v>
      </c>
      <c r="D27" s="227"/>
      <c r="E27" s="227"/>
      <c r="F27" s="227"/>
      <c r="G27" s="227"/>
      <c r="H27" s="228"/>
      <c r="I27" s="316" t="s">
        <v>15</v>
      </c>
      <c r="J27" s="227"/>
      <c r="K27" s="227"/>
      <c r="L27" s="227"/>
      <c r="M27" s="227"/>
      <c r="N27" s="227"/>
      <c r="O27" s="227"/>
      <c r="P27" s="227"/>
      <c r="Q27" s="227"/>
      <c r="R27" s="227"/>
      <c r="S27" s="227"/>
      <c r="T27" s="227"/>
      <c r="U27" s="227"/>
      <c r="V27" s="228"/>
      <c r="W27" s="316" t="s">
        <v>69</v>
      </c>
      <c r="X27" s="227"/>
      <c r="Y27" s="227"/>
      <c r="Z27" s="227"/>
      <c r="AA27" s="228"/>
      <c r="AB27" s="316" t="s">
        <v>24</v>
      </c>
      <c r="AC27" s="227"/>
      <c r="AD27" s="227"/>
      <c r="AE27" s="227"/>
      <c r="AF27" s="227"/>
      <c r="AG27" s="228"/>
      <c r="AH27" s="316" t="s">
        <v>20</v>
      </c>
      <c r="AI27" s="227"/>
      <c r="AJ27" s="227"/>
      <c r="AK27" s="227"/>
      <c r="AL27" s="227"/>
      <c r="AM27" s="228"/>
      <c r="AN27" s="316" t="s">
        <v>68</v>
      </c>
      <c r="AO27" s="227"/>
      <c r="AP27" s="227"/>
      <c r="AQ27" s="227"/>
      <c r="AR27" s="227"/>
      <c r="AS27" s="227"/>
      <c r="AT27" s="317"/>
      <c r="AU27" s="62"/>
    </row>
    <row r="28" spans="1:47" s="63" customFormat="1" ht="12.65" customHeight="1" x14ac:dyDescent="0.35">
      <c r="A28" s="59"/>
      <c r="B28" s="80">
        <v>1</v>
      </c>
      <c r="C28" s="300">
        <v>46124</v>
      </c>
      <c r="D28" s="301"/>
      <c r="E28" s="301"/>
      <c r="F28" s="301"/>
      <c r="G28" s="301"/>
      <c r="H28" s="301"/>
      <c r="I28" s="302" t="s">
        <v>16</v>
      </c>
      <c r="J28" s="302"/>
      <c r="K28" s="303"/>
      <c r="L28" s="81" t="s">
        <v>100</v>
      </c>
      <c r="M28" s="318" t="s">
        <v>17</v>
      </c>
      <c r="N28" s="319"/>
      <c r="O28" s="319"/>
      <c r="P28" s="319"/>
      <c r="Q28" s="81"/>
      <c r="R28" s="323" t="s">
        <v>18</v>
      </c>
      <c r="S28" s="324"/>
      <c r="T28" s="324"/>
      <c r="U28" s="318"/>
      <c r="V28" s="82"/>
      <c r="W28" s="329"/>
      <c r="X28" s="329"/>
      <c r="Y28" s="329"/>
      <c r="Z28" s="329"/>
      <c r="AA28" s="330"/>
      <c r="AB28" s="314">
        <v>46489</v>
      </c>
      <c r="AC28" s="301"/>
      <c r="AD28" s="301"/>
      <c r="AE28" s="301"/>
      <c r="AF28" s="301"/>
      <c r="AG28" s="315"/>
      <c r="AH28" s="314">
        <v>47220</v>
      </c>
      <c r="AI28" s="301"/>
      <c r="AJ28" s="301"/>
      <c r="AK28" s="301"/>
      <c r="AL28" s="301"/>
      <c r="AM28" s="315"/>
      <c r="AN28" s="339">
        <v>998484884</v>
      </c>
      <c r="AO28" s="339"/>
      <c r="AP28" s="339"/>
      <c r="AQ28" s="339"/>
      <c r="AR28" s="339"/>
      <c r="AS28" s="339"/>
      <c r="AT28" s="340"/>
      <c r="AU28" s="62"/>
    </row>
    <row r="29" spans="1:47" s="63" customFormat="1" ht="12.65" customHeight="1" x14ac:dyDescent="0.35">
      <c r="A29" s="59"/>
      <c r="B29" s="83">
        <v>2</v>
      </c>
      <c r="C29" s="219">
        <v>46065</v>
      </c>
      <c r="D29" s="220"/>
      <c r="E29" s="220"/>
      <c r="F29" s="220"/>
      <c r="G29" s="220"/>
      <c r="H29" s="220"/>
      <c r="I29" s="246" t="s">
        <v>16</v>
      </c>
      <c r="J29" s="246"/>
      <c r="K29" s="247"/>
      <c r="L29" s="84"/>
      <c r="M29" s="250" t="s">
        <v>17</v>
      </c>
      <c r="N29" s="251"/>
      <c r="O29" s="251"/>
      <c r="P29" s="251"/>
      <c r="Q29" s="84"/>
      <c r="R29" s="312" t="s">
        <v>18</v>
      </c>
      <c r="S29" s="313"/>
      <c r="T29" s="313"/>
      <c r="U29" s="250"/>
      <c r="V29" s="85" t="s">
        <v>100</v>
      </c>
      <c r="W29" s="262"/>
      <c r="X29" s="262"/>
      <c r="Y29" s="262"/>
      <c r="Z29" s="262"/>
      <c r="AA29" s="207"/>
      <c r="AB29" s="256">
        <v>45658</v>
      </c>
      <c r="AC29" s="220"/>
      <c r="AD29" s="220"/>
      <c r="AE29" s="220"/>
      <c r="AF29" s="220"/>
      <c r="AG29" s="257"/>
      <c r="AH29" s="256">
        <v>46246</v>
      </c>
      <c r="AI29" s="220"/>
      <c r="AJ29" s="220"/>
      <c r="AK29" s="220"/>
      <c r="AL29" s="220"/>
      <c r="AM29" s="257"/>
      <c r="AN29" s="248">
        <v>2009999</v>
      </c>
      <c r="AO29" s="248"/>
      <c r="AP29" s="248"/>
      <c r="AQ29" s="248"/>
      <c r="AR29" s="248"/>
      <c r="AS29" s="248"/>
      <c r="AT29" s="249"/>
      <c r="AU29" s="62"/>
    </row>
    <row r="30" spans="1:47" s="63" customFormat="1" ht="12.65" customHeight="1" x14ac:dyDescent="0.35">
      <c r="A30" s="59"/>
      <c r="B30" s="83">
        <v>3</v>
      </c>
      <c r="C30" s="219"/>
      <c r="D30" s="220"/>
      <c r="E30" s="220"/>
      <c r="F30" s="220"/>
      <c r="G30" s="220"/>
      <c r="H30" s="220"/>
      <c r="I30" s="246" t="s">
        <v>16</v>
      </c>
      <c r="J30" s="246"/>
      <c r="K30" s="247"/>
      <c r="L30" s="84"/>
      <c r="M30" s="250" t="s">
        <v>17</v>
      </c>
      <c r="N30" s="251"/>
      <c r="O30" s="251"/>
      <c r="P30" s="251"/>
      <c r="Q30" s="84"/>
      <c r="R30" s="312" t="s">
        <v>18</v>
      </c>
      <c r="S30" s="313"/>
      <c r="T30" s="313"/>
      <c r="U30" s="250"/>
      <c r="V30" s="85"/>
      <c r="W30" s="320"/>
      <c r="X30" s="320"/>
      <c r="Y30" s="320"/>
      <c r="Z30" s="320"/>
      <c r="AA30" s="321"/>
      <c r="AB30" s="256"/>
      <c r="AC30" s="220"/>
      <c r="AD30" s="220"/>
      <c r="AE30" s="220"/>
      <c r="AF30" s="220"/>
      <c r="AG30" s="257"/>
      <c r="AH30" s="256"/>
      <c r="AI30" s="220"/>
      <c r="AJ30" s="220"/>
      <c r="AK30" s="220"/>
      <c r="AL30" s="220"/>
      <c r="AM30" s="257"/>
      <c r="AN30" s="248"/>
      <c r="AO30" s="248"/>
      <c r="AP30" s="248"/>
      <c r="AQ30" s="248"/>
      <c r="AR30" s="248"/>
      <c r="AS30" s="248"/>
      <c r="AT30" s="249"/>
      <c r="AU30" s="62"/>
    </row>
    <row r="31" spans="1:47" s="63" customFormat="1" ht="12.65" customHeight="1" x14ac:dyDescent="0.35">
      <c r="A31" s="59"/>
      <c r="B31" s="83">
        <v>4</v>
      </c>
      <c r="C31" s="219"/>
      <c r="D31" s="220"/>
      <c r="E31" s="220"/>
      <c r="F31" s="220"/>
      <c r="G31" s="220"/>
      <c r="H31" s="220"/>
      <c r="I31" s="246" t="s">
        <v>16</v>
      </c>
      <c r="J31" s="246"/>
      <c r="K31" s="247"/>
      <c r="L31" s="84"/>
      <c r="M31" s="250" t="s">
        <v>17</v>
      </c>
      <c r="N31" s="251"/>
      <c r="O31" s="251"/>
      <c r="P31" s="251"/>
      <c r="Q31" s="84"/>
      <c r="R31" s="312" t="s">
        <v>18</v>
      </c>
      <c r="S31" s="313"/>
      <c r="T31" s="313"/>
      <c r="U31" s="250"/>
      <c r="V31" s="85"/>
      <c r="W31" s="262"/>
      <c r="X31" s="262"/>
      <c r="Y31" s="262"/>
      <c r="Z31" s="262"/>
      <c r="AA31" s="207"/>
      <c r="AB31" s="256"/>
      <c r="AC31" s="220"/>
      <c r="AD31" s="220"/>
      <c r="AE31" s="220"/>
      <c r="AF31" s="220"/>
      <c r="AG31" s="257"/>
      <c r="AH31" s="256"/>
      <c r="AI31" s="220"/>
      <c r="AJ31" s="220"/>
      <c r="AK31" s="220"/>
      <c r="AL31" s="220"/>
      <c r="AM31" s="257"/>
      <c r="AN31" s="248"/>
      <c r="AO31" s="248"/>
      <c r="AP31" s="248"/>
      <c r="AQ31" s="248"/>
      <c r="AR31" s="248"/>
      <c r="AS31" s="248"/>
      <c r="AT31" s="249"/>
      <c r="AU31" s="62"/>
    </row>
    <row r="32" spans="1:47" s="63" customFormat="1" ht="12.65" customHeight="1" thickBot="1" x14ac:dyDescent="0.4">
      <c r="A32" s="59"/>
      <c r="B32" s="86">
        <v>5</v>
      </c>
      <c r="C32" s="254"/>
      <c r="D32" s="255"/>
      <c r="E32" s="255"/>
      <c r="F32" s="255"/>
      <c r="G32" s="255"/>
      <c r="H32" s="255"/>
      <c r="I32" s="263" t="s">
        <v>16</v>
      </c>
      <c r="J32" s="263"/>
      <c r="K32" s="264"/>
      <c r="L32" s="87"/>
      <c r="M32" s="265" t="s">
        <v>17</v>
      </c>
      <c r="N32" s="266"/>
      <c r="O32" s="266"/>
      <c r="P32" s="266"/>
      <c r="Q32" s="87"/>
      <c r="R32" s="267" t="s">
        <v>18</v>
      </c>
      <c r="S32" s="268"/>
      <c r="T32" s="268"/>
      <c r="U32" s="265"/>
      <c r="V32" s="88"/>
      <c r="W32" s="258"/>
      <c r="X32" s="258"/>
      <c r="Y32" s="258"/>
      <c r="Z32" s="258"/>
      <c r="AA32" s="210"/>
      <c r="AB32" s="335"/>
      <c r="AC32" s="255"/>
      <c r="AD32" s="255"/>
      <c r="AE32" s="255"/>
      <c r="AF32" s="255"/>
      <c r="AG32" s="336"/>
      <c r="AH32" s="269"/>
      <c r="AI32" s="270"/>
      <c r="AJ32" s="270"/>
      <c r="AK32" s="270"/>
      <c r="AL32" s="270"/>
      <c r="AM32" s="271"/>
      <c r="AN32" s="331"/>
      <c r="AO32" s="331"/>
      <c r="AP32" s="331"/>
      <c r="AQ32" s="331"/>
      <c r="AR32" s="331"/>
      <c r="AS32" s="331"/>
      <c r="AT32" s="332"/>
      <c r="AU32" s="62"/>
    </row>
    <row r="33" spans="1:47" ht="12.65" customHeight="1" x14ac:dyDescent="0.35">
      <c r="A33" s="13"/>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1"/>
      <c r="AD33" s="19"/>
      <c r="AE33" s="19"/>
      <c r="AF33" s="19"/>
      <c r="AG33" s="19"/>
      <c r="AH33" s="19"/>
      <c r="AI33" s="49"/>
      <c r="AJ33" s="49"/>
      <c r="AK33" s="18"/>
      <c r="AL33" s="18"/>
      <c r="AM33" s="18"/>
      <c r="AN33" s="18"/>
      <c r="AO33" s="18"/>
      <c r="AP33" s="18"/>
      <c r="AQ33" s="18"/>
      <c r="AR33" s="18"/>
      <c r="AS33" s="18"/>
      <c r="AT33" s="18"/>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132" t="s">
        <v>22</v>
      </c>
      <c r="C35" s="132"/>
      <c r="D35" s="132"/>
      <c r="E35" s="132"/>
      <c r="F35" s="132"/>
      <c r="G35" s="132"/>
      <c r="H35" s="132"/>
      <c r="I35" s="132"/>
      <c r="J35" s="132"/>
      <c r="K35" s="132"/>
      <c r="L35" s="132"/>
      <c r="M35" s="132"/>
      <c r="N35" s="132"/>
      <c r="O35" s="132"/>
      <c r="P35" s="132"/>
      <c r="Q35" s="132"/>
      <c r="R35" s="132"/>
      <c r="S35" s="132"/>
      <c r="T35" s="132"/>
      <c r="U35" s="132"/>
      <c r="V35" s="132"/>
      <c r="W35" s="132"/>
      <c r="X35" s="132"/>
      <c r="Y35" s="132"/>
      <c r="Z35" s="132"/>
      <c r="AA35" s="132"/>
      <c r="AB35" s="132"/>
      <c r="AC35" s="132"/>
      <c r="AD35" s="132"/>
      <c r="AE35" s="132"/>
      <c r="AF35" s="132"/>
      <c r="AG35" s="132"/>
      <c r="AH35" s="132"/>
      <c r="AI35" s="132"/>
      <c r="AJ35" s="132"/>
      <c r="AK35" s="132"/>
      <c r="AL35" s="132"/>
      <c r="AM35" s="132"/>
      <c r="AN35" s="132"/>
      <c r="AO35" s="132"/>
      <c r="AP35" s="132"/>
      <c r="AQ35" s="132"/>
      <c r="AR35" s="132"/>
      <c r="AS35" s="132"/>
      <c r="AT35" s="132"/>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259">
        <f>+AN24</f>
        <v>386128219</v>
      </c>
      <c r="K37" s="259"/>
      <c r="L37" s="259"/>
      <c r="M37" s="259"/>
      <c r="N37" s="259"/>
      <c r="O37" s="259"/>
      <c r="P37" s="259"/>
      <c r="Q37" s="259"/>
      <c r="R37" s="259"/>
      <c r="S37" s="259"/>
      <c r="T37" s="259"/>
      <c r="U37" s="259"/>
      <c r="V37" s="259"/>
      <c r="W37" s="259"/>
      <c r="X37" s="259"/>
      <c r="Y37" s="259"/>
      <c r="Z37" s="259"/>
      <c r="AA37" s="259"/>
      <c r="AB37" s="259"/>
      <c r="AC37" s="259"/>
      <c r="AD37" s="259"/>
      <c r="AE37" s="259"/>
      <c r="AF37" s="259"/>
      <c r="AG37" s="259"/>
      <c r="AH37" s="259"/>
      <c r="AI37" s="259"/>
      <c r="AJ37" s="259"/>
      <c r="AK37" s="259"/>
      <c r="AL37" s="259"/>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69" t="s">
        <v>12</v>
      </c>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c r="AA39" s="169"/>
      <c r="AB39" s="169"/>
      <c r="AC39" s="169"/>
      <c r="AD39" s="169"/>
      <c r="AE39" s="169"/>
      <c r="AF39" s="169"/>
      <c r="AG39" s="169"/>
      <c r="AH39" s="169"/>
      <c r="AI39" s="169"/>
      <c r="AJ39" s="169"/>
      <c r="AK39" s="169"/>
      <c r="AL39" s="169"/>
      <c r="AM39" s="169"/>
      <c r="AN39" s="169"/>
      <c r="AO39" s="169"/>
      <c r="AP39" s="169"/>
      <c r="AQ39" s="169"/>
      <c r="AR39" s="169"/>
      <c r="AS39" s="169"/>
      <c r="AT39" s="169"/>
      <c r="AU39" s="14"/>
    </row>
    <row r="40" spans="1:47" ht="12.65" customHeight="1" thickBot="1" x14ac:dyDescent="0.4">
      <c r="A40" s="13"/>
      <c r="B40" s="53" t="s">
        <v>21</v>
      </c>
      <c r="C40" s="260" t="s">
        <v>8</v>
      </c>
      <c r="D40" s="260"/>
      <c r="E40" s="260"/>
      <c r="F40" s="260"/>
      <c r="G40" s="260"/>
      <c r="H40" s="261"/>
      <c r="I40" s="252" t="s">
        <v>7</v>
      </c>
      <c r="J40" s="252"/>
      <c r="K40" s="252"/>
      <c r="L40" s="252"/>
      <c r="M40" s="252"/>
      <c r="N40" s="252"/>
      <c r="O40" s="252"/>
      <c r="P40" s="252"/>
      <c r="Q40" s="272" t="s">
        <v>9</v>
      </c>
      <c r="R40" s="260"/>
      <c r="S40" s="260"/>
      <c r="T40" s="260"/>
      <c r="U40" s="260"/>
      <c r="V40" s="260"/>
      <c r="W40" s="261"/>
      <c r="X40" s="252" t="s">
        <v>10</v>
      </c>
      <c r="Y40" s="252"/>
      <c r="Z40" s="252"/>
      <c r="AA40" s="252"/>
      <c r="AB40" s="252"/>
      <c r="AC40" s="252"/>
      <c r="AD40" s="252"/>
      <c r="AE40" s="252"/>
      <c r="AF40" s="252"/>
      <c r="AG40" s="252"/>
      <c r="AH40" s="252"/>
      <c r="AI40" s="252"/>
      <c r="AJ40" s="252"/>
      <c r="AK40" s="252"/>
      <c r="AL40" s="252"/>
      <c r="AM40" s="252"/>
      <c r="AN40" s="252" t="s">
        <v>11</v>
      </c>
      <c r="AO40" s="252"/>
      <c r="AP40" s="252"/>
      <c r="AQ40" s="252"/>
      <c r="AR40" s="252"/>
      <c r="AS40" s="252"/>
      <c r="AT40" s="253"/>
      <c r="AU40" s="14"/>
    </row>
    <row r="41" spans="1:47" ht="12.65" customHeight="1" x14ac:dyDescent="0.35">
      <c r="A41" s="13"/>
      <c r="B41" s="58">
        <v>1</v>
      </c>
      <c r="C41" s="110">
        <v>45924</v>
      </c>
      <c r="D41" s="111"/>
      <c r="E41" s="111"/>
      <c r="F41" s="111"/>
      <c r="G41" s="111"/>
      <c r="H41" s="112"/>
      <c r="I41" s="104">
        <v>11103</v>
      </c>
      <c r="J41" s="105"/>
      <c r="K41" s="105"/>
      <c r="L41" s="105"/>
      <c r="M41" s="105"/>
      <c r="N41" s="105"/>
      <c r="O41" s="105"/>
      <c r="P41" s="106"/>
      <c r="Q41" s="234" t="s">
        <v>105</v>
      </c>
      <c r="R41" s="234"/>
      <c r="S41" s="234"/>
      <c r="T41" s="234"/>
      <c r="U41" s="234"/>
      <c r="V41" s="234"/>
      <c r="W41" s="234"/>
      <c r="X41" s="234" t="s">
        <v>106</v>
      </c>
      <c r="Y41" s="234"/>
      <c r="Z41" s="234"/>
      <c r="AA41" s="234"/>
      <c r="AB41" s="234"/>
      <c r="AC41" s="234"/>
      <c r="AD41" s="234"/>
      <c r="AE41" s="234"/>
      <c r="AF41" s="234"/>
      <c r="AG41" s="234"/>
      <c r="AH41" s="234"/>
      <c r="AI41" s="234"/>
      <c r="AJ41" s="234"/>
      <c r="AK41" s="234"/>
      <c r="AL41" s="234"/>
      <c r="AM41" s="234"/>
      <c r="AN41" s="232">
        <v>86531419</v>
      </c>
      <c r="AO41" s="232"/>
      <c r="AP41" s="232"/>
      <c r="AQ41" s="232"/>
      <c r="AR41" s="232"/>
      <c r="AS41" s="232"/>
      <c r="AT41" s="233"/>
      <c r="AU41" s="14"/>
    </row>
    <row r="42" spans="1:47" ht="12.65" customHeight="1" x14ac:dyDescent="0.35">
      <c r="A42" s="13"/>
      <c r="B42" s="27">
        <v>2</v>
      </c>
      <c r="C42" s="113"/>
      <c r="D42" s="114"/>
      <c r="E42" s="114"/>
      <c r="F42" s="114"/>
      <c r="G42" s="114"/>
      <c r="H42" s="115"/>
      <c r="I42" s="107"/>
      <c r="J42" s="108"/>
      <c r="K42" s="108"/>
      <c r="L42" s="108"/>
      <c r="M42" s="108"/>
      <c r="N42" s="108"/>
      <c r="O42" s="108"/>
      <c r="P42" s="109"/>
      <c r="Q42" s="168" t="s">
        <v>107</v>
      </c>
      <c r="R42" s="168"/>
      <c r="S42" s="168"/>
      <c r="T42" s="168"/>
      <c r="U42" s="168"/>
      <c r="V42" s="168"/>
      <c r="W42" s="168"/>
      <c r="X42" s="168" t="s">
        <v>108</v>
      </c>
      <c r="Y42" s="168"/>
      <c r="Z42" s="168"/>
      <c r="AA42" s="168"/>
      <c r="AB42" s="168"/>
      <c r="AC42" s="168"/>
      <c r="AD42" s="168"/>
      <c r="AE42" s="168"/>
      <c r="AF42" s="168"/>
      <c r="AG42" s="168"/>
      <c r="AH42" s="168"/>
      <c r="AI42" s="168"/>
      <c r="AJ42" s="168"/>
      <c r="AK42" s="168"/>
      <c r="AL42" s="168"/>
      <c r="AM42" s="168"/>
      <c r="AN42" s="170">
        <v>29596800</v>
      </c>
      <c r="AO42" s="170"/>
      <c r="AP42" s="170"/>
      <c r="AQ42" s="170"/>
      <c r="AR42" s="170"/>
      <c r="AS42" s="170"/>
      <c r="AT42" s="171"/>
      <c r="AU42" s="14"/>
    </row>
    <row r="43" spans="1:47" ht="12.65" customHeight="1" x14ac:dyDescent="0.35">
      <c r="A43" s="13"/>
      <c r="B43" s="27">
        <v>3</v>
      </c>
      <c r="C43" s="361">
        <v>46024</v>
      </c>
      <c r="D43" s="362"/>
      <c r="E43" s="362"/>
      <c r="F43" s="362"/>
      <c r="G43" s="362"/>
      <c r="H43" s="362"/>
      <c r="I43" s="168">
        <v>11263</v>
      </c>
      <c r="J43" s="168"/>
      <c r="K43" s="168"/>
      <c r="L43" s="168"/>
      <c r="M43" s="168"/>
      <c r="N43" s="168"/>
      <c r="O43" s="168"/>
      <c r="P43" s="168"/>
      <c r="Q43" s="168" t="s">
        <v>105</v>
      </c>
      <c r="R43" s="168"/>
      <c r="S43" s="168"/>
      <c r="T43" s="168"/>
      <c r="U43" s="168"/>
      <c r="V43" s="168"/>
      <c r="W43" s="168"/>
      <c r="X43" s="168" t="s">
        <v>106</v>
      </c>
      <c r="Y43" s="168"/>
      <c r="Z43" s="168"/>
      <c r="AA43" s="168"/>
      <c r="AB43" s="168"/>
      <c r="AC43" s="168"/>
      <c r="AD43" s="168"/>
      <c r="AE43" s="168"/>
      <c r="AF43" s="168"/>
      <c r="AG43" s="168"/>
      <c r="AH43" s="168"/>
      <c r="AI43" s="168"/>
      <c r="AJ43" s="168"/>
      <c r="AK43" s="168"/>
      <c r="AL43" s="168"/>
      <c r="AM43" s="168"/>
      <c r="AN43" s="170">
        <v>324000000</v>
      </c>
      <c r="AO43" s="170"/>
      <c r="AP43" s="170"/>
      <c r="AQ43" s="170"/>
      <c r="AR43" s="170"/>
      <c r="AS43" s="170"/>
      <c r="AT43" s="171"/>
      <c r="AU43" s="14"/>
    </row>
    <row r="44" spans="1:47" ht="12.65" customHeight="1" x14ac:dyDescent="0.35">
      <c r="A44" s="13"/>
      <c r="B44" s="27">
        <v>4</v>
      </c>
      <c r="C44" s="244"/>
      <c r="D44" s="245"/>
      <c r="E44" s="245"/>
      <c r="F44" s="245"/>
      <c r="G44" s="245"/>
      <c r="H44" s="245"/>
      <c r="I44" s="216"/>
      <c r="J44" s="216"/>
      <c r="K44" s="216"/>
      <c r="L44" s="216"/>
      <c r="M44" s="216"/>
      <c r="N44" s="216"/>
      <c r="O44" s="216"/>
      <c r="P44" s="216"/>
      <c r="Q44" s="216"/>
      <c r="R44" s="216"/>
      <c r="S44" s="216"/>
      <c r="T44" s="216"/>
      <c r="U44" s="216"/>
      <c r="V44" s="216"/>
      <c r="W44" s="216"/>
      <c r="X44" s="216"/>
      <c r="Y44" s="216"/>
      <c r="Z44" s="216"/>
      <c r="AA44" s="216"/>
      <c r="AB44" s="216"/>
      <c r="AC44" s="216"/>
      <c r="AD44" s="216"/>
      <c r="AE44" s="216"/>
      <c r="AF44" s="216"/>
      <c r="AG44" s="216"/>
      <c r="AH44" s="216"/>
      <c r="AI44" s="216"/>
      <c r="AJ44" s="216"/>
      <c r="AK44" s="216"/>
      <c r="AL44" s="216"/>
      <c r="AM44" s="216"/>
      <c r="AN44" s="356"/>
      <c r="AO44" s="357"/>
      <c r="AP44" s="357"/>
      <c r="AQ44" s="357"/>
      <c r="AR44" s="357"/>
      <c r="AS44" s="357"/>
      <c r="AT44" s="358"/>
      <c r="AU44" s="14"/>
    </row>
    <row r="45" spans="1:47" ht="12.65" customHeight="1" thickBot="1" x14ac:dyDescent="0.4">
      <c r="A45" s="13"/>
      <c r="B45" s="28">
        <v>5</v>
      </c>
      <c r="C45" s="359"/>
      <c r="D45" s="360"/>
      <c r="E45" s="360"/>
      <c r="F45" s="360"/>
      <c r="G45" s="360"/>
      <c r="H45" s="360"/>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17"/>
      <c r="AH45" s="217"/>
      <c r="AI45" s="217"/>
      <c r="AJ45" s="217"/>
      <c r="AK45" s="217"/>
      <c r="AL45" s="217"/>
      <c r="AM45" s="217"/>
      <c r="AN45" s="130"/>
      <c r="AO45" s="130"/>
      <c r="AP45" s="130"/>
      <c r="AQ45" s="130"/>
      <c r="AR45" s="130"/>
      <c r="AS45" s="130"/>
      <c r="AT45" s="131"/>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235">
        <f>SUM(AN41:AT45)</f>
        <v>440128219</v>
      </c>
      <c r="AO46" s="236"/>
      <c r="AP46" s="236"/>
      <c r="AQ46" s="236"/>
      <c r="AR46" s="236"/>
      <c r="AS46" s="236"/>
      <c r="AT46" s="237"/>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243" t="s">
        <v>84</v>
      </c>
      <c r="C48" s="243"/>
      <c r="D48" s="243"/>
      <c r="E48" s="243"/>
      <c r="F48" s="243"/>
      <c r="G48" s="243"/>
      <c r="H48" s="243"/>
      <c r="I48" s="243"/>
      <c r="J48" s="243"/>
      <c r="K48" s="243"/>
      <c r="L48" s="243"/>
      <c r="M48" s="243"/>
      <c r="N48" s="243"/>
      <c r="O48" s="243"/>
      <c r="P48" s="243"/>
      <c r="Q48" s="243"/>
      <c r="R48" s="243"/>
      <c r="S48" s="243"/>
      <c r="T48" s="243"/>
      <c r="U48" s="243"/>
      <c r="V48" s="243"/>
      <c r="W48" s="243"/>
      <c r="X48" s="243"/>
      <c r="Y48" s="243"/>
      <c r="Z48" s="243"/>
      <c r="AA48" s="243"/>
      <c r="AB48" s="243"/>
      <c r="AC48" s="243"/>
      <c r="AD48" s="243"/>
      <c r="AE48" s="243"/>
      <c r="AF48" s="243"/>
      <c r="AG48" s="243"/>
      <c r="AH48" s="243"/>
      <c r="AI48" s="243"/>
      <c r="AJ48" s="243"/>
      <c r="AK48" s="243"/>
      <c r="AL48" s="243"/>
      <c r="AM48" s="243"/>
      <c r="AN48" s="243"/>
      <c r="AO48" s="243"/>
      <c r="AP48" s="243"/>
      <c r="AQ48" s="243"/>
      <c r="AR48" s="243"/>
      <c r="AS48" s="243"/>
      <c r="AT48" s="243"/>
      <c r="AU48" s="62"/>
    </row>
    <row r="49" spans="1:47" s="63" customFormat="1" ht="12.65" customHeight="1" thickBot="1" x14ac:dyDescent="0.4">
      <c r="A49" s="59"/>
      <c r="B49" s="89" t="s">
        <v>21</v>
      </c>
      <c r="C49" s="227" t="s">
        <v>8</v>
      </c>
      <c r="D49" s="227"/>
      <c r="E49" s="227"/>
      <c r="F49" s="227"/>
      <c r="G49" s="227"/>
      <c r="H49" s="228"/>
      <c r="I49" s="148" t="s">
        <v>7</v>
      </c>
      <c r="J49" s="148"/>
      <c r="K49" s="148"/>
      <c r="L49" s="148"/>
      <c r="M49" s="148"/>
      <c r="N49" s="148"/>
      <c r="O49" s="148"/>
      <c r="P49" s="148"/>
      <c r="Q49" s="229" t="s">
        <v>9</v>
      </c>
      <c r="R49" s="230"/>
      <c r="S49" s="230"/>
      <c r="T49" s="230"/>
      <c r="U49" s="230"/>
      <c r="V49" s="230"/>
      <c r="W49" s="231"/>
      <c r="X49" s="148" t="s">
        <v>10</v>
      </c>
      <c r="Y49" s="148"/>
      <c r="Z49" s="148"/>
      <c r="AA49" s="148"/>
      <c r="AB49" s="148"/>
      <c r="AC49" s="148"/>
      <c r="AD49" s="148"/>
      <c r="AE49" s="148"/>
      <c r="AF49" s="148"/>
      <c r="AG49" s="148"/>
      <c r="AH49" s="148"/>
      <c r="AI49" s="148"/>
      <c r="AJ49" s="148"/>
      <c r="AK49" s="148"/>
      <c r="AL49" s="148"/>
      <c r="AM49" s="148"/>
      <c r="AN49" s="148" t="s">
        <v>11</v>
      </c>
      <c r="AO49" s="148"/>
      <c r="AP49" s="148"/>
      <c r="AQ49" s="148"/>
      <c r="AR49" s="148"/>
      <c r="AS49" s="148"/>
      <c r="AT49" s="149"/>
      <c r="AU49" s="62"/>
    </row>
    <row r="50" spans="1:47" s="63" customFormat="1" ht="12.65" customHeight="1" x14ac:dyDescent="0.35">
      <c r="A50" s="59"/>
      <c r="B50" s="80">
        <v>1</v>
      </c>
      <c r="C50" s="341">
        <v>45958</v>
      </c>
      <c r="D50" s="342"/>
      <c r="E50" s="342"/>
      <c r="F50" s="342"/>
      <c r="G50" s="342"/>
      <c r="H50" s="342"/>
      <c r="I50" s="141">
        <v>27254</v>
      </c>
      <c r="J50" s="141"/>
      <c r="K50" s="141"/>
      <c r="L50" s="141"/>
      <c r="M50" s="141"/>
      <c r="N50" s="141"/>
      <c r="O50" s="141"/>
      <c r="P50" s="141"/>
      <c r="Q50" s="343" t="s">
        <v>105</v>
      </c>
      <c r="R50" s="344"/>
      <c r="S50" s="344"/>
      <c r="T50" s="344"/>
      <c r="U50" s="344"/>
      <c r="V50" s="344"/>
      <c r="W50" s="345"/>
      <c r="X50" s="141" t="s">
        <v>106</v>
      </c>
      <c r="Y50" s="141"/>
      <c r="Z50" s="141"/>
      <c r="AA50" s="141"/>
      <c r="AB50" s="141"/>
      <c r="AC50" s="141"/>
      <c r="AD50" s="141"/>
      <c r="AE50" s="141"/>
      <c r="AF50" s="141"/>
      <c r="AG50" s="141"/>
      <c r="AH50" s="141"/>
      <c r="AI50" s="141"/>
      <c r="AJ50" s="141"/>
      <c r="AK50" s="141"/>
      <c r="AL50" s="141"/>
      <c r="AM50" s="141"/>
      <c r="AN50" s="238">
        <v>86531419</v>
      </c>
      <c r="AO50" s="239"/>
      <c r="AP50" s="239"/>
      <c r="AQ50" s="239"/>
      <c r="AR50" s="239"/>
      <c r="AS50" s="239"/>
      <c r="AT50" s="240"/>
      <c r="AU50" s="62"/>
    </row>
    <row r="51" spans="1:47" s="63" customFormat="1" ht="12.65" customHeight="1" x14ac:dyDescent="0.35">
      <c r="A51" s="59"/>
      <c r="B51" s="83">
        <v>2</v>
      </c>
      <c r="C51" s="219">
        <v>46046</v>
      </c>
      <c r="D51" s="220"/>
      <c r="E51" s="220"/>
      <c r="F51" s="220"/>
      <c r="G51" s="220"/>
      <c r="H51" s="220"/>
      <c r="I51" s="208">
        <v>27896</v>
      </c>
      <c r="J51" s="208"/>
      <c r="K51" s="208"/>
      <c r="L51" s="208"/>
      <c r="M51" s="208"/>
      <c r="N51" s="208"/>
      <c r="O51" s="208"/>
      <c r="P51" s="208"/>
      <c r="Q51" s="241" t="s">
        <v>107</v>
      </c>
      <c r="R51" s="242"/>
      <c r="S51" s="242"/>
      <c r="T51" s="242"/>
      <c r="U51" s="242"/>
      <c r="V51" s="242"/>
      <c r="W51" s="192"/>
      <c r="X51" s="193" t="s">
        <v>108</v>
      </c>
      <c r="Y51" s="193"/>
      <c r="Z51" s="193"/>
      <c r="AA51" s="193"/>
      <c r="AB51" s="193"/>
      <c r="AC51" s="193"/>
      <c r="AD51" s="193"/>
      <c r="AE51" s="193"/>
      <c r="AF51" s="193"/>
      <c r="AG51" s="193"/>
      <c r="AH51" s="193"/>
      <c r="AI51" s="193"/>
      <c r="AJ51" s="193"/>
      <c r="AK51" s="193"/>
      <c r="AL51" s="193"/>
      <c r="AM51" s="193"/>
      <c r="AN51" s="180">
        <v>29596800</v>
      </c>
      <c r="AO51" s="181"/>
      <c r="AP51" s="181"/>
      <c r="AQ51" s="181"/>
      <c r="AR51" s="181"/>
      <c r="AS51" s="181"/>
      <c r="AT51" s="182"/>
      <c r="AU51" s="62"/>
    </row>
    <row r="52" spans="1:47" s="63" customFormat="1" ht="12.65" customHeight="1" x14ac:dyDescent="0.35">
      <c r="A52" s="59"/>
      <c r="B52" s="83">
        <v>3</v>
      </c>
      <c r="C52" s="221">
        <v>46028</v>
      </c>
      <c r="D52" s="222"/>
      <c r="E52" s="222"/>
      <c r="F52" s="222"/>
      <c r="G52" s="222"/>
      <c r="H52" s="222"/>
      <c r="I52" s="193">
        <v>27706</v>
      </c>
      <c r="J52" s="193"/>
      <c r="K52" s="193"/>
      <c r="L52" s="193"/>
      <c r="M52" s="193"/>
      <c r="N52" s="193"/>
      <c r="O52" s="193"/>
      <c r="P52" s="193"/>
      <c r="Q52" s="193" t="s">
        <v>105</v>
      </c>
      <c r="R52" s="193"/>
      <c r="S52" s="193"/>
      <c r="T52" s="193"/>
      <c r="U52" s="193"/>
      <c r="V52" s="193"/>
      <c r="W52" s="193"/>
      <c r="X52" s="193" t="s">
        <v>106</v>
      </c>
      <c r="Y52" s="193"/>
      <c r="Z52" s="193"/>
      <c r="AA52" s="193"/>
      <c r="AB52" s="193"/>
      <c r="AC52" s="193"/>
      <c r="AD52" s="193"/>
      <c r="AE52" s="193"/>
      <c r="AF52" s="193"/>
      <c r="AG52" s="193"/>
      <c r="AH52" s="193"/>
      <c r="AI52" s="193"/>
      <c r="AJ52" s="193"/>
      <c r="AK52" s="193"/>
      <c r="AL52" s="193"/>
      <c r="AM52" s="193"/>
      <c r="AN52" s="366">
        <v>324000000</v>
      </c>
      <c r="AO52" s="366"/>
      <c r="AP52" s="366"/>
      <c r="AQ52" s="366"/>
      <c r="AR52" s="366"/>
      <c r="AS52" s="366"/>
      <c r="AT52" s="367"/>
      <c r="AU52" s="62"/>
    </row>
    <row r="53" spans="1:47" s="63" customFormat="1" ht="12.65" customHeight="1" x14ac:dyDescent="0.35">
      <c r="A53" s="59"/>
      <c r="B53" s="83">
        <v>4</v>
      </c>
      <c r="C53" s="219">
        <v>46029</v>
      </c>
      <c r="D53" s="220"/>
      <c r="E53" s="220"/>
      <c r="F53" s="220"/>
      <c r="G53" s="220"/>
      <c r="H53" s="220"/>
      <c r="I53" s="208">
        <v>27710</v>
      </c>
      <c r="J53" s="208"/>
      <c r="K53" s="208"/>
      <c r="L53" s="208"/>
      <c r="M53" s="208"/>
      <c r="N53" s="208"/>
      <c r="O53" s="208"/>
      <c r="P53" s="208"/>
      <c r="Q53" s="368" t="s">
        <v>145</v>
      </c>
      <c r="R53" s="262"/>
      <c r="S53" s="262"/>
      <c r="T53" s="262"/>
      <c r="U53" s="262"/>
      <c r="V53" s="262"/>
      <c r="W53" s="207"/>
      <c r="X53" s="369" t="s">
        <v>146</v>
      </c>
      <c r="Y53" s="369"/>
      <c r="Z53" s="369"/>
      <c r="AA53" s="369"/>
      <c r="AB53" s="369"/>
      <c r="AC53" s="369"/>
      <c r="AD53" s="369"/>
      <c r="AE53" s="369"/>
      <c r="AF53" s="369"/>
      <c r="AG53" s="369"/>
      <c r="AH53" s="369"/>
      <c r="AI53" s="369"/>
      <c r="AJ53" s="369"/>
      <c r="AK53" s="369"/>
      <c r="AL53" s="369"/>
      <c r="AM53" s="369"/>
      <c r="AN53" s="180">
        <v>98000000</v>
      </c>
      <c r="AO53" s="181"/>
      <c r="AP53" s="181"/>
      <c r="AQ53" s="181"/>
      <c r="AR53" s="181"/>
      <c r="AS53" s="181"/>
      <c r="AT53" s="182"/>
      <c r="AU53" s="62"/>
    </row>
    <row r="54" spans="1:47" s="63" customFormat="1" ht="12.65" customHeight="1" thickBot="1" x14ac:dyDescent="0.4">
      <c r="A54" s="59"/>
      <c r="B54" s="86">
        <v>5</v>
      </c>
      <c r="C54" s="254"/>
      <c r="D54" s="255"/>
      <c r="E54" s="255"/>
      <c r="F54" s="255"/>
      <c r="G54" s="255"/>
      <c r="H54" s="255"/>
      <c r="I54" s="206"/>
      <c r="J54" s="206"/>
      <c r="K54" s="206"/>
      <c r="L54" s="206"/>
      <c r="M54" s="206"/>
      <c r="N54" s="206"/>
      <c r="O54" s="206"/>
      <c r="P54" s="206"/>
      <c r="Q54" s="370"/>
      <c r="R54" s="258"/>
      <c r="S54" s="258"/>
      <c r="T54" s="258"/>
      <c r="U54" s="258"/>
      <c r="V54" s="258"/>
      <c r="W54" s="210"/>
      <c r="X54" s="206"/>
      <c r="Y54" s="206"/>
      <c r="Z54" s="206"/>
      <c r="AA54" s="206"/>
      <c r="AB54" s="206"/>
      <c r="AC54" s="206"/>
      <c r="AD54" s="206"/>
      <c r="AE54" s="206"/>
      <c r="AF54" s="206"/>
      <c r="AG54" s="206"/>
      <c r="AH54" s="206"/>
      <c r="AI54" s="206"/>
      <c r="AJ54" s="206"/>
      <c r="AK54" s="206"/>
      <c r="AL54" s="206"/>
      <c r="AM54" s="206"/>
      <c r="AN54" s="371"/>
      <c r="AO54" s="372"/>
      <c r="AP54" s="372"/>
      <c r="AQ54" s="372"/>
      <c r="AR54" s="372"/>
      <c r="AS54" s="372"/>
      <c r="AT54" s="373"/>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363">
        <f>SUM(AN50:AT54)</f>
        <v>538128219</v>
      </c>
      <c r="AO55" s="364"/>
      <c r="AP55" s="364"/>
      <c r="AQ55" s="364"/>
      <c r="AR55" s="364"/>
      <c r="AS55" s="364"/>
      <c r="AT55" s="365"/>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132" t="s">
        <v>23</v>
      </c>
      <c r="C57" s="132"/>
      <c r="D57" s="132"/>
      <c r="E57" s="132"/>
      <c r="F57" s="132"/>
      <c r="G57" s="132"/>
      <c r="H57" s="132"/>
      <c r="I57" s="132"/>
      <c r="J57" s="132"/>
      <c r="K57" s="132"/>
      <c r="L57" s="132"/>
      <c r="M57" s="132"/>
      <c r="N57" s="132"/>
      <c r="O57" s="132"/>
      <c r="P57" s="132"/>
      <c r="Q57" s="132"/>
      <c r="R57" s="132"/>
      <c r="S57" s="132"/>
      <c r="T57" s="132"/>
      <c r="U57" s="132"/>
      <c r="V57" s="132"/>
      <c r="W57" s="132"/>
      <c r="X57" s="132"/>
      <c r="Y57" s="132"/>
      <c r="Z57" s="132"/>
      <c r="AA57" s="132"/>
      <c r="AB57" s="132"/>
      <c r="AC57" s="132"/>
      <c r="AD57" s="132"/>
      <c r="AE57" s="132"/>
      <c r="AF57" s="132"/>
      <c r="AG57" s="132"/>
      <c r="AH57" s="132"/>
      <c r="AI57" s="132"/>
      <c r="AJ57" s="132"/>
      <c r="AK57" s="132"/>
      <c r="AL57" s="132"/>
      <c r="AM57" s="132"/>
      <c r="AN57" s="132"/>
      <c r="AO57" s="132"/>
      <c r="AP57" s="132"/>
      <c r="AQ57" s="132"/>
      <c r="AR57" s="132"/>
      <c r="AS57" s="132"/>
      <c r="AT57" s="132"/>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243" t="s">
        <v>95</v>
      </c>
      <c r="C59" s="243"/>
      <c r="D59" s="243"/>
      <c r="E59" s="243"/>
      <c r="F59" s="243"/>
      <c r="G59" s="243"/>
      <c r="H59" s="243"/>
      <c r="I59" s="243"/>
      <c r="J59" s="243"/>
      <c r="K59" s="243"/>
      <c r="L59" s="243"/>
      <c r="M59" s="243"/>
      <c r="N59" s="243"/>
      <c r="O59" s="243"/>
      <c r="P59" s="243"/>
      <c r="Q59" s="243"/>
      <c r="R59" s="243"/>
      <c r="S59" s="243"/>
      <c r="T59" s="243"/>
      <c r="U59" s="243"/>
      <c r="V59" s="243"/>
      <c r="W59" s="243"/>
      <c r="X59" s="243"/>
      <c r="Y59" s="243"/>
      <c r="Z59" s="243"/>
      <c r="AA59" s="243"/>
      <c r="AB59" s="243"/>
      <c r="AC59" s="243"/>
      <c r="AD59" s="243"/>
      <c r="AE59" s="243"/>
      <c r="AF59" s="243"/>
      <c r="AG59" s="243"/>
      <c r="AH59" s="243"/>
      <c r="AI59" s="243"/>
      <c r="AJ59" s="243"/>
      <c r="AK59" s="243"/>
      <c r="AL59" s="243"/>
      <c r="AM59" s="243"/>
      <c r="AN59" s="243"/>
      <c r="AO59" s="243"/>
      <c r="AP59" s="243"/>
      <c r="AQ59" s="243"/>
      <c r="AR59" s="243"/>
      <c r="AS59" s="243"/>
      <c r="AT59" s="243"/>
      <c r="AU59" s="62"/>
    </row>
    <row r="60" spans="1:47" s="63" customFormat="1" ht="12.65" customHeight="1" thickBot="1" x14ac:dyDescent="0.4">
      <c r="A60" s="59"/>
      <c r="B60" s="89" t="s">
        <v>21</v>
      </c>
      <c r="C60" s="211" t="s">
        <v>29</v>
      </c>
      <c r="D60" s="148"/>
      <c r="E60" s="148"/>
      <c r="F60" s="148"/>
      <c r="G60" s="148"/>
      <c r="H60" s="148"/>
      <c r="I60" s="148" t="s">
        <v>30</v>
      </c>
      <c r="J60" s="148"/>
      <c r="K60" s="148"/>
      <c r="L60" s="148"/>
      <c r="M60" s="148"/>
      <c r="N60" s="229" t="s">
        <v>71</v>
      </c>
      <c r="O60" s="230"/>
      <c r="P60" s="230"/>
      <c r="Q60" s="230"/>
      <c r="R60" s="230"/>
      <c r="S60" s="230"/>
      <c r="T60" s="230"/>
      <c r="U60" s="230"/>
      <c r="V60" s="230"/>
      <c r="W60" s="230"/>
      <c r="X60" s="230"/>
      <c r="Y60" s="230"/>
      <c r="Z60" s="230"/>
      <c r="AA60" s="230"/>
      <c r="AB60" s="230"/>
      <c r="AC60" s="231"/>
      <c r="AD60" s="148" t="s">
        <v>31</v>
      </c>
      <c r="AE60" s="148"/>
      <c r="AF60" s="148"/>
      <c r="AG60" s="148"/>
      <c r="AH60" s="148"/>
      <c r="AI60" s="148" t="s">
        <v>72</v>
      </c>
      <c r="AJ60" s="148"/>
      <c r="AK60" s="148"/>
      <c r="AL60" s="148"/>
      <c r="AM60" s="148"/>
      <c r="AN60" s="148" t="s">
        <v>32</v>
      </c>
      <c r="AO60" s="148"/>
      <c r="AP60" s="148"/>
      <c r="AQ60" s="148"/>
      <c r="AR60" s="148"/>
      <c r="AS60" s="148"/>
      <c r="AT60" s="149"/>
      <c r="AU60" s="62"/>
    </row>
    <row r="61" spans="1:47" s="63" customFormat="1" ht="12.65" customHeight="1" x14ac:dyDescent="0.35">
      <c r="A61" s="59"/>
      <c r="B61" s="90">
        <v>1</v>
      </c>
      <c r="C61" s="218" t="s">
        <v>111</v>
      </c>
      <c r="D61" s="141"/>
      <c r="E61" s="141"/>
      <c r="F61" s="141"/>
      <c r="G61" s="141"/>
      <c r="H61" s="141"/>
      <c r="I61" s="141" t="s">
        <v>112</v>
      </c>
      <c r="J61" s="141"/>
      <c r="K61" s="141"/>
      <c r="L61" s="141"/>
      <c r="M61" s="141"/>
      <c r="N61" s="224" t="s">
        <v>103</v>
      </c>
      <c r="O61" s="225"/>
      <c r="P61" s="225"/>
      <c r="Q61" s="225"/>
      <c r="R61" s="225"/>
      <c r="S61" s="225"/>
      <c r="T61" s="225"/>
      <c r="U61" s="225"/>
      <c r="V61" s="225"/>
      <c r="W61" s="225"/>
      <c r="X61" s="225"/>
      <c r="Y61" s="225"/>
      <c r="Z61" s="225"/>
      <c r="AA61" s="225"/>
      <c r="AB61" s="225"/>
      <c r="AC61" s="226"/>
      <c r="AD61" s="140">
        <v>45957</v>
      </c>
      <c r="AE61" s="140"/>
      <c r="AF61" s="140"/>
      <c r="AG61" s="140"/>
      <c r="AH61" s="140"/>
      <c r="AI61" s="140">
        <v>46568</v>
      </c>
      <c r="AJ61" s="140"/>
      <c r="AK61" s="140"/>
      <c r="AL61" s="140"/>
      <c r="AM61" s="140"/>
      <c r="AN61" s="238">
        <v>77225643.799999997</v>
      </c>
      <c r="AO61" s="239"/>
      <c r="AP61" s="239"/>
      <c r="AQ61" s="239"/>
      <c r="AR61" s="239"/>
      <c r="AS61" s="239"/>
      <c r="AT61" s="240"/>
      <c r="AU61" s="62"/>
    </row>
    <row r="62" spans="1:47" s="63" customFormat="1" ht="12.65" customHeight="1" x14ac:dyDescent="0.35">
      <c r="A62" s="59"/>
      <c r="B62" s="91">
        <v>2</v>
      </c>
      <c r="C62" s="192"/>
      <c r="D62" s="193"/>
      <c r="E62" s="193"/>
      <c r="F62" s="193"/>
      <c r="G62" s="193"/>
      <c r="H62" s="193"/>
      <c r="I62" s="141"/>
      <c r="J62" s="141"/>
      <c r="K62" s="141"/>
      <c r="L62" s="141"/>
      <c r="M62" s="141"/>
      <c r="N62" s="213" t="s">
        <v>109</v>
      </c>
      <c r="O62" s="214"/>
      <c r="P62" s="214"/>
      <c r="Q62" s="214"/>
      <c r="R62" s="214"/>
      <c r="S62" s="214"/>
      <c r="T62" s="214"/>
      <c r="U62" s="214"/>
      <c r="V62" s="214"/>
      <c r="W62" s="214"/>
      <c r="X62" s="214"/>
      <c r="Y62" s="214"/>
      <c r="Z62" s="214"/>
      <c r="AA62" s="214"/>
      <c r="AB62" s="214"/>
      <c r="AC62" s="215"/>
      <c r="AD62" s="140">
        <v>45957</v>
      </c>
      <c r="AE62" s="140"/>
      <c r="AF62" s="140"/>
      <c r="AG62" s="140"/>
      <c r="AH62" s="140"/>
      <c r="AI62" s="223">
        <v>46568</v>
      </c>
      <c r="AJ62" s="223"/>
      <c r="AK62" s="223"/>
      <c r="AL62" s="223"/>
      <c r="AM62" s="223"/>
      <c r="AN62" s="180">
        <v>77225643.799999997</v>
      </c>
      <c r="AO62" s="181"/>
      <c r="AP62" s="181"/>
      <c r="AQ62" s="181"/>
      <c r="AR62" s="181"/>
      <c r="AS62" s="181"/>
      <c r="AT62" s="182"/>
      <c r="AU62" s="62"/>
    </row>
    <row r="63" spans="1:47" s="63" customFormat="1" ht="12.65" customHeight="1" x14ac:dyDescent="0.35">
      <c r="A63" s="59"/>
      <c r="B63" s="91">
        <v>3</v>
      </c>
      <c r="C63" s="192"/>
      <c r="D63" s="193"/>
      <c r="E63" s="193"/>
      <c r="F63" s="193"/>
      <c r="G63" s="193"/>
      <c r="H63" s="193"/>
      <c r="I63" s="141"/>
      <c r="J63" s="141"/>
      <c r="K63" s="141"/>
      <c r="L63" s="141"/>
      <c r="M63" s="141"/>
      <c r="N63" s="213" t="s">
        <v>110</v>
      </c>
      <c r="O63" s="214"/>
      <c r="P63" s="214"/>
      <c r="Q63" s="214"/>
      <c r="R63" s="214"/>
      <c r="S63" s="214"/>
      <c r="T63" s="214"/>
      <c r="U63" s="214"/>
      <c r="V63" s="214"/>
      <c r="W63" s="214"/>
      <c r="X63" s="214"/>
      <c r="Y63" s="214"/>
      <c r="Z63" s="214"/>
      <c r="AA63" s="214"/>
      <c r="AB63" s="214"/>
      <c r="AC63" s="215"/>
      <c r="AD63" s="140">
        <v>45957</v>
      </c>
      <c r="AE63" s="140"/>
      <c r="AF63" s="140"/>
      <c r="AG63" s="140"/>
      <c r="AH63" s="140"/>
      <c r="AI63" s="223">
        <v>47483</v>
      </c>
      <c r="AJ63" s="223"/>
      <c r="AK63" s="223"/>
      <c r="AL63" s="223"/>
      <c r="AM63" s="223"/>
      <c r="AN63" s="180">
        <v>38612821.899999999</v>
      </c>
      <c r="AO63" s="181"/>
      <c r="AP63" s="181"/>
      <c r="AQ63" s="181"/>
      <c r="AR63" s="181"/>
      <c r="AS63" s="181"/>
      <c r="AT63" s="182"/>
      <c r="AU63" s="62"/>
    </row>
    <row r="64" spans="1:47" s="63" customFormat="1" ht="12.65" customHeight="1" x14ac:dyDescent="0.35">
      <c r="A64" s="59"/>
      <c r="B64" s="91">
        <v>4</v>
      </c>
      <c r="C64" s="207"/>
      <c r="D64" s="208"/>
      <c r="E64" s="208"/>
      <c r="F64" s="208"/>
      <c r="G64" s="208"/>
      <c r="H64" s="208"/>
      <c r="I64" s="208"/>
      <c r="J64" s="208"/>
      <c r="K64" s="208"/>
      <c r="L64" s="208"/>
      <c r="M64" s="208"/>
      <c r="N64" s="380"/>
      <c r="O64" s="214"/>
      <c r="P64" s="214"/>
      <c r="Q64" s="214"/>
      <c r="R64" s="214"/>
      <c r="S64" s="214"/>
      <c r="T64" s="214"/>
      <c r="U64" s="214"/>
      <c r="V64" s="214"/>
      <c r="W64" s="214"/>
      <c r="X64" s="214"/>
      <c r="Y64" s="214"/>
      <c r="Z64" s="214"/>
      <c r="AA64" s="214"/>
      <c r="AB64" s="214"/>
      <c r="AC64" s="215"/>
      <c r="AD64" s="212"/>
      <c r="AE64" s="212"/>
      <c r="AF64" s="212"/>
      <c r="AG64" s="212"/>
      <c r="AH64" s="212"/>
      <c r="AI64" s="212"/>
      <c r="AJ64" s="212"/>
      <c r="AK64" s="212"/>
      <c r="AL64" s="212"/>
      <c r="AM64" s="212"/>
      <c r="AN64" s="349"/>
      <c r="AO64" s="350"/>
      <c r="AP64" s="350"/>
      <c r="AQ64" s="350"/>
      <c r="AR64" s="350"/>
      <c r="AS64" s="350"/>
      <c r="AT64" s="351"/>
      <c r="AU64" s="62"/>
    </row>
    <row r="65" spans="1:47" s="63" customFormat="1" ht="12.65" customHeight="1" thickBot="1" x14ac:dyDescent="0.4">
      <c r="A65" s="59"/>
      <c r="B65" s="92">
        <v>5</v>
      </c>
      <c r="C65" s="210"/>
      <c r="D65" s="206"/>
      <c r="E65" s="206"/>
      <c r="F65" s="206"/>
      <c r="G65" s="206"/>
      <c r="H65" s="206"/>
      <c r="I65" s="206"/>
      <c r="J65" s="206"/>
      <c r="K65" s="206"/>
      <c r="L65" s="206"/>
      <c r="M65" s="206"/>
      <c r="N65" s="346"/>
      <c r="O65" s="347"/>
      <c r="P65" s="347"/>
      <c r="Q65" s="347"/>
      <c r="R65" s="347"/>
      <c r="S65" s="347"/>
      <c r="T65" s="347"/>
      <c r="U65" s="347"/>
      <c r="V65" s="347"/>
      <c r="W65" s="347"/>
      <c r="X65" s="347"/>
      <c r="Y65" s="347"/>
      <c r="Z65" s="347"/>
      <c r="AA65" s="347"/>
      <c r="AB65" s="347"/>
      <c r="AC65" s="348"/>
      <c r="AD65" s="352"/>
      <c r="AE65" s="352"/>
      <c r="AF65" s="352"/>
      <c r="AG65" s="352"/>
      <c r="AH65" s="352"/>
      <c r="AI65" s="352"/>
      <c r="AJ65" s="352"/>
      <c r="AK65" s="352"/>
      <c r="AL65" s="352"/>
      <c r="AM65" s="352"/>
      <c r="AN65" s="377"/>
      <c r="AO65" s="378"/>
      <c r="AP65" s="378"/>
      <c r="AQ65" s="378"/>
      <c r="AR65" s="378"/>
      <c r="AS65" s="378"/>
      <c r="AT65" s="379"/>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132" t="s">
        <v>74</v>
      </c>
      <c r="C68" s="132"/>
      <c r="D68" s="132"/>
      <c r="E68" s="132"/>
      <c r="F68" s="132"/>
      <c r="G68" s="132"/>
      <c r="H68" s="132"/>
      <c r="I68" s="132"/>
      <c r="J68" s="132"/>
      <c r="K68" s="132"/>
      <c r="L68" s="132"/>
      <c r="M68" s="132"/>
      <c r="N68" s="132"/>
      <c r="O68" s="132"/>
      <c r="P68" s="132"/>
      <c r="Q68" s="132"/>
      <c r="R68" s="132"/>
      <c r="S68" s="132"/>
      <c r="T68" s="132"/>
      <c r="U68" s="132"/>
      <c r="V68" s="132"/>
      <c r="W68" s="132"/>
      <c r="X68" s="132"/>
      <c r="Y68" s="132"/>
      <c r="Z68" s="132"/>
      <c r="AA68" s="132"/>
      <c r="AB68" s="132"/>
      <c r="AC68" s="132"/>
      <c r="AD68" s="132"/>
      <c r="AE68" s="132"/>
      <c r="AF68" s="132"/>
      <c r="AG68" s="132"/>
      <c r="AH68" s="132"/>
      <c r="AI68" s="132"/>
      <c r="AJ68" s="132"/>
      <c r="AK68" s="132"/>
      <c r="AL68" s="132"/>
      <c r="AM68" s="132"/>
      <c r="AN68" s="132"/>
      <c r="AO68" s="132"/>
      <c r="AP68" s="132"/>
      <c r="AQ68" s="132"/>
      <c r="AR68" s="132"/>
      <c r="AS68" s="132"/>
      <c r="AT68" s="132"/>
      <c r="AU68" s="14"/>
    </row>
    <row r="69" spans="1:47" ht="12.65" customHeight="1" thickBot="1" x14ac:dyDescent="0.4">
      <c r="A69" s="13"/>
      <c r="B69" s="48"/>
      <c r="C69" s="48"/>
      <c r="D69" s="48"/>
      <c r="E69" s="48"/>
      <c r="F69" s="48"/>
      <c r="G69" s="48"/>
      <c r="H69" s="48"/>
      <c r="I69" s="2"/>
      <c r="J69" s="381"/>
      <c r="K69" s="381"/>
      <c r="L69" s="381"/>
      <c r="M69" s="381"/>
      <c r="N69" s="381"/>
      <c r="O69" s="381"/>
      <c r="P69" s="381"/>
      <c r="Q69" s="381"/>
      <c r="R69" s="381"/>
      <c r="S69" s="381"/>
      <c r="T69" s="381"/>
      <c r="U69" s="381"/>
      <c r="V69" s="381"/>
      <c r="W69" s="381"/>
      <c r="X69" s="381"/>
      <c r="Y69" s="381"/>
      <c r="Z69" s="381"/>
      <c r="AA69" s="381"/>
      <c r="AB69" s="381"/>
      <c r="AC69" s="381"/>
      <c r="AD69" s="381"/>
      <c r="AE69" s="381"/>
      <c r="AF69" s="381"/>
      <c r="AG69" s="381"/>
      <c r="AH69" s="381"/>
      <c r="AI69" s="381"/>
      <c r="AJ69" s="2"/>
      <c r="AK69" s="2"/>
      <c r="AL69" s="2"/>
      <c r="AM69" s="2"/>
      <c r="AN69" s="2"/>
      <c r="AO69" s="2"/>
      <c r="AP69" s="2"/>
      <c r="AQ69" s="2"/>
      <c r="AR69" s="2"/>
      <c r="AS69" s="2"/>
      <c r="AT69" s="2"/>
      <c r="AU69" s="14"/>
    </row>
    <row r="70" spans="1:47" ht="63" customHeight="1" x14ac:dyDescent="0.35">
      <c r="A70" s="13"/>
      <c r="B70" s="194" t="s">
        <v>3</v>
      </c>
      <c r="C70" s="195"/>
      <c r="D70" s="195"/>
      <c r="E70" s="195"/>
      <c r="F70" s="198" t="s">
        <v>90</v>
      </c>
      <c r="G70" s="195"/>
      <c r="H70" s="195"/>
      <c r="I70" s="195"/>
      <c r="J70" s="195"/>
      <c r="K70" s="195"/>
      <c r="L70" s="195"/>
      <c r="M70" s="195"/>
      <c r="N70" s="195"/>
      <c r="O70" s="195"/>
      <c r="P70" s="195"/>
      <c r="Q70" s="195"/>
      <c r="R70" s="195"/>
      <c r="S70" s="195"/>
      <c r="T70" s="195"/>
      <c r="U70" s="199"/>
      <c r="V70" s="203" t="s">
        <v>86</v>
      </c>
      <c r="W70" s="204"/>
      <c r="X70" s="203" t="s">
        <v>87</v>
      </c>
      <c r="Y70" s="204"/>
      <c r="Z70" s="204"/>
      <c r="AA70" s="203" t="s">
        <v>88</v>
      </c>
      <c r="AB70" s="204"/>
      <c r="AC70" s="204"/>
      <c r="AD70" s="203" t="s">
        <v>89</v>
      </c>
      <c r="AE70" s="204"/>
      <c r="AF70" s="204"/>
      <c r="AG70" s="203" t="s">
        <v>64</v>
      </c>
      <c r="AH70" s="204"/>
      <c r="AI70" s="204"/>
      <c r="AJ70" s="198" t="s">
        <v>65</v>
      </c>
      <c r="AK70" s="195"/>
      <c r="AL70" s="195"/>
      <c r="AM70" s="195"/>
      <c r="AN70" s="195"/>
      <c r="AO70" s="195"/>
      <c r="AP70" s="195"/>
      <c r="AQ70" s="195"/>
      <c r="AR70" s="195"/>
      <c r="AS70" s="195"/>
      <c r="AT70" s="374"/>
      <c r="AU70" s="14"/>
    </row>
    <row r="71" spans="1:47" ht="25.5" customHeight="1" x14ac:dyDescent="0.35">
      <c r="A71" s="13"/>
      <c r="B71" s="196"/>
      <c r="C71" s="197"/>
      <c r="D71" s="197"/>
      <c r="E71" s="197"/>
      <c r="F71" s="200"/>
      <c r="G71" s="201"/>
      <c r="H71" s="201"/>
      <c r="I71" s="201"/>
      <c r="J71" s="201"/>
      <c r="K71" s="201"/>
      <c r="L71" s="201"/>
      <c r="M71" s="201"/>
      <c r="N71" s="201"/>
      <c r="O71" s="201"/>
      <c r="P71" s="201"/>
      <c r="Q71" s="201"/>
      <c r="R71" s="201"/>
      <c r="S71" s="201"/>
      <c r="T71" s="201"/>
      <c r="U71" s="202"/>
      <c r="V71" s="205"/>
      <c r="W71" s="205"/>
      <c r="X71" s="205"/>
      <c r="Y71" s="205"/>
      <c r="Z71" s="205"/>
      <c r="AA71" s="205"/>
      <c r="AB71" s="205"/>
      <c r="AC71" s="205"/>
      <c r="AD71" s="205"/>
      <c r="AE71" s="205"/>
      <c r="AF71" s="205"/>
      <c r="AG71" s="205"/>
      <c r="AH71" s="205"/>
      <c r="AI71" s="205"/>
      <c r="AJ71" s="375"/>
      <c r="AK71" s="197"/>
      <c r="AL71" s="197"/>
      <c r="AM71" s="197"/>
      <c r="AN71" s="197"/>
      <c r="AO71" s="197"/>
      <c r="AP71" s="197"/>
      <c r="AQ71" s="197"/>
      <c r="AR71" s="197"/>
      <c r="AS71" s="197"/>
      <c r="AT71" s="376"/>
      <c r="AU71" s="14"/>
    </row>
    <row r="72" spans="1:47" ht="130" customHeight="1" x14ac:dyDescent="0.35">
      <c r="A72" s="13"/>
      <c r="B72" s="116">
        <v>1</v>
      </c>
      <c r="C72" s="117"/>
      <c r="D72" s="117"/>
      <c r="E72" s="118"/>
      <c r="F72" s="119" t="s">
        <v>113</v>
      </c>
      <c r="G72" s="119"/>
      <c r="H72" s="119"/>
      <c r="I72" s="119"/>
      <c r="J72" s="119"/>
      <c r="K72" s="119"/>
      <c r="L72" s="119"/>
      <c r="M72" s="119"/>
      <c r="N72" s="119"/>
      <c r="O72" s="119"/>
      <c r="P72" s="119"/>
      <c r="Q72" s="119"/>
      <c r="R72" s="119"/>
      <c r="S72" s="119"/>
      <c r="T72" s="119"/>
      <c r="U72" s="119"/>
      <c r="V72" s="120"/>
      <c r="W72" s="120"/>
      <c r="X72" s="120"/>
      <c r="Y72" s="120"/>
      <c r="Z72" s="120"/>
      <c r="AA72" s="120"/>
      <c r="AB72" s="120"/>
      <c r="AC72" s="120"/>
      <c r="AD72" s="121" t="s">
        <v>133</v>
      </c>
      <c r="AE72" s="122"/>
      <c r="AF72" s="123"/>
      <c r="AG72" s="121"/>
      <c r="AH72" s="122"/>
      <c r="AI72" s="123"/>
      <c r="AJ72" s="124"/>
      <c r="AK72" s="125"/>
      <c r="AL72" s="125"/>
      <c r="AM72" s="125"/>
      <c r="AN72" s="125"/>
      <c r="AO72" s="125"/>
      <c r="AP72" s="125"/>
      <c r="AQ72" s="125"/>
      <c r="AR72" s="125"/>
      <c r="AS72" s="125"/>
      <c r="AT72" s="126"/>
      <c r="AU72" s="14"/>
    </row>
    <row r="73" spans="1:47" ht="189" customHeight="1" x14ac:dyDescent="0.35">
      <c r="A73" s="13"/>
      <c r="B73" s="116">
        <v>2</v>
      </c>
      <c r="C73" s="117"/>
      <c r="D73" s="117"/>
      <c r="E73" s="118"/>
      <c r="F73" s="119" t="s">
        <v>114</v>
      </c>
      <c r="G73" s="119"/>
      <c r="H73" s="119"/>
      <c r="I73" s="119"/>
      <c r="J73" s="119"/>
      <c r="K73" s="119"/>
      <c r="L73" s="119"/>
      <c r="M73" s="119"/>
      <c r="N73" s="119"/>
      <c r="O73" s="119"/>
      <c r="P73" s="119"/>
      <c r="Q73" s="119"/>
      <c r="R73" s="119"/>
      <c r="S73" s="119"/>
      <c r="T73" s="119"/>
      <c r="U73" s="119"/>
      <c r="V73" s="120"/>
      <c r="W73" s="120"/>
      <c r="X73" s="120"/>
      <c r="Y73" s="120"/>
      <c r="Z73" s="120"/>
      <c r="AA73" s="120"/>
      <c r="AB73" s="120"/>
      <c r="AC73" s="120"/>
      <c r="AD73" s="121" t="s">
        <v>133</v>
      </c>
      <c r="AE73" s="122"/>
      <c r="AF73" s="123"/>
      <c r="AG73" s="121"/>
      <c r="AH73" s="122"/>
      <c r="AI73" s="123"/>
      <c r="AJ73" s="124"/>
      <c r="AK73" s="125"/>
      <c r="AL73" s="125"/>
      <c r="AM73" s="125"/>
      <c r="AN73" s="125"/>
      <c r="AO73" s="125"/>
      <c r="AP73" s="125"/>
      <c r="AQ73" s="125"/>
      <c r="AR73" s="125"/>
      <c r="AS73" s="125"/>
      <c r="AT73" s="126"/>
      <c r="AU73" s="14"/>
    </row>
    <row r="74" spans="1:47" ht="157" customHeight="1" x14ac:dyDescent="0.35">
      <c r="A74" s="13"/>
      <c r="B74" s="116">
        <v>3</v>
      </c>
      <c r="C74" s="117"/>
      <c r="D74" s="117"/>
      <c r="E74" s="118"/>
      <c r="F74" s="119" t="s">
        <v>115</v>
      </c>
      <c r="G74" s="119"/>
      <c r="H74" s="119"/>
      <c r="I74" s="119"/>
      <c r="J74" s="119"/>
      <c r="K74" s="119"/>
      <c r="L74" s="119"/>
      <c r="M74" s="119"/>
      <c r="N74" s="119"/>
      <c r="O74" s="119"/>
      <c r="P74" s="119"/>
      <c r="Q74" s="119"/>
      <c r="R74" s="119"/>
      <c r="S74" s="119"/>
      <c r="T74" s="119"/>
      <c r="U74" s="119"/>
      <c r="V74" s="120" t="s">
        <v>133</v>
      </c>
      <c r="W74" s="120"/>
      <c r="X74" s="120"/>
      <c r="Y74" s="120"/>
      <c r="Z74" s="120"/>
      <c r="AA74" s="120"/>
      <c r="AB74" s="120"/>
      <c r="AC74" s="120"/>
      <c r="AD74" s="121"/>
      <c r="AE74" s="122"/>
      <c r="AF74" s="123"/>
      <c r="AG74" s="121"/>
      <c r="AH74" s="122"/>
      <c r="AI74" s="123"/>
      <c r="AJ74" s="127" t="s">
        <v>134</v>
      </c>
      <c r="AK74" s="128"/>
      <c r="AL74" s="128"/>
      <c r="AM74" s="128"/>
      <c r="AN74" s="128"/>
      <c r="AO74" s="128"/>
      <c r="AP74" s="128"/>
      <c r="AQ74" s="128"/>
      <c r="AR74" s="128"/>
      <c r="AS74" s="128"/>
      <c r="AT74" s="129"/>
      <c r="AU74" s="14"/>
    </row>
    <row r="75" spans="1:47" ht="196.5" customHeight="1" x14ac:dyDescent="0.35">
      <c r="A75" s="13"/>
      <c r="B75" s="116">
        <v>4</v>
      </c>
      <c r="C75" s="117"/>
      <c r="D75" s="117"/>
      <c r="E75" s="118"/>
      <c r="F75" s="119" t="s">
        <v>116</v>
      </c>
      <c r="G75" s="119"/>
      <c r="H75" s="119"/>
      <c r="I75" s="119"/>
      <c r="J75" s="119"/>
      <c r="K75" s="119"/>
      <c r="L75" s="119"/>
      <c r="M75" s="119"/>
      <c r="N75" s="119"/>
      <c r="O75" s="119"/>
      <c r="P75" s="119"/>
      <c r="Q75" s="119"/>
      <c r="R75" s="119"/>
      <c r="S75" s="119"/>
      <c r="T75" s="119"/>
      <c r="U75" s="119"/>
      <c r="V75" s="120" t="s">
        <v>133</v>
      </c>
      <c r="W75" s="120"/>
      <c r="X75" s="120"/>
      <c r="Y75" s="120"/>
      <c r="Z75" s="120"/>
      <c r="AA75" s="120"/>
      <c r="AB75" s="120"/>
      <c r="AC75" s="120"/>
      <c r="AD75" s="121"/>
      <c r="AE75" s="122"/>
      <c r="AF75" s="123"/>
      <c r="AG75" s="121"/>
      <c r="AH75" s="122"/>
      <c r="AI75" s="123"/>
      <c r="AJ75" s="127" t="s">
        <v>135</v>
      </c>
      <c r="AK75" s="128"/>
      <c r="AL75" s="128"/>
      <c r="AM75" s="128"/>
      <c r="AN75" s="128"/>
      <c r="AO75" s="128"/>
      <c r="AP75" s="128"/>
      <c r="AQ75" s="128"/>
      <c r="AR75" s="128"/>
      <c r="AS75" s="128"/>
      <c r="AT75" s="129"/>
      <c r="AU75" s="14"/>
    </row>
    <row r="76" spans="1:47" ht="41" customHeight="1" x14ac:dyDescent="0.35">
      <c r="A76" s="13"/>
      <c r="B76" s="116">
        <v>5</v>
      </c>
      <c r="C76" s="117"/>
      <c r="D76" s="117"/>
      <c r="E76" s="118"/>
      <c r="F76" s="119" t="s">
        <v>117</v>
      </c>
      <c r="G76" s="119"/>
      <c r="H76" s="119"/>
      <c r="I76" s="119"/>
      <c r="J76" s="119"/>
      <c r="K76" s="119"/>
      <c r="L76" s="119"/>
      <c r="M76" s="119"/>
      <c r="N76" s="119"/>
      <c r="O76" s="119"/>
      <c r="P76" s="119"/>
      <c r="Q76" s="119"/>
      <c r="R76" s="119"/>
      <c r="S76" s="119"/>
      <c r="T76" s="119"/>
      <c r="U76" s="119"/>
      <c r="V76" s="120"/>
      <c r="W76" s="120"/>
      <c r="X76" s="120"/>
      <c r="Y76" s="120"/>
      <c r="Z76" s="120"/>
      <c r="AA76" s="120"/>
      <c r="AB76" s="120"/>
      <c r="AC76" s="120"/>
      <c r="AD76" s="121" t="s">
        <v>133</v>
      </c>
      <c r="AE76" s="122"/>
      <c r="AF76" s="123"/>
      <c r="AG76" s="121"/>
      <c r="AH76" s="122"/>
      <c r="AI76" s="123"/>
      <c r="AJ76" s="124"/>
      <c r="AK76" s="125"/>
      <c r="AL76" s="125"/>
      <c r="AM76" s="125"/>
      <c r="AN76" s="125"/>
      <c r="AO76" s="125"/>
      <c r="AP76" s="125"/>
      <c r="AQ76" s="125"/>
      <c r="AR76" s="125"/>
      <c r="AS76" s="125"/>
      <c r="AT76" s="126"/>
      <c r="AU76" s="14"/>
    </row>
    <row r="77" spans="1:47" ht="40.5" customHeight="1" x14ac:dyDescent="0.35">
      <c r="A77" s="13"/>
      <c r="B77" s="116">
        <v>6</v>
      </c>
      <c r="C77" s="117"/>
      <c r="D77" s="117"/>
      <c r="E77" s="118"/>
      <c r="F77" s="119" t="s">
        <v>118</v>
      </c>
      <c r="G77" s="119"/>
      <c r="H77" s="119"/>
      <c r="I77" s="119"/>
      <c r="J77" s="119"/>
      <c r="K77" s="119"/>
      <c r="L77" s="119"/>
      <c r="M77" s="119"/>
      <c r="N77" s="119"/>
      <c r="O77" s="119"/>
      <c r="P77" s="119"/>
      <c r="Q77" s="119"/>
      <c r="R77" s="119"/>
      <c r="S77" s="119"/>
      <c r="T77" s="119"/>
      <c r="U77" s="119"/>
      <c r="V77" s="120" t="s">
        <v>133</v>
      </c>
      <c r="W77" s="120"/>
      <c r="X77" s="120"/>
      <c r="Y77" s="120"/>
      <c r="Z77" s="120"/>
      <c r="AA77" s="120"/>
      <c r="AB77" s="120"/>
      <c r="AC77" s="120"/>
      <c r="AD77" s="121"/>
      <c r="AE77" s="122"/>
      <c r="AF77" s="123"/>
      <c r="AG77" s="121"/>
      <c r="AH77" s="122"/>
      <c r="AI77" s="123"/>
      <c r="AJ77" s="127" t="s">
        <v>135</v>
      </c>
      <c r="AK77" s="128"/>
      <c r="AL77" s="128"/>
      <c r="AM77" s="128"/>
      <c r="AN77" s="128"/>
      <c r="AO77" s="128"/>
      <c r="AP77" s="128"/>
      <c r="AQ77" s="128"/>
      <c r="AR77" s="128"/>
      <c r="AS77" s="128"/>
      <c r="AT77" s="129"/>
      <c r="AU77" s="14"/>
    </row>
    <row r="78" spans="1:47" ht="27" customHeight="1" x14ac:dyDescent="0.35">
      <c r="A78" s="13"/>
      <c r="B78" s="116">
        <v>7</v>
      </c>
      <c r="C78" s="117"/>
      <c r="D78" s="117"/>
      <c r="E78" s="118"/>
      <c r="F78" s="119" t="s">
        <v>119</v>
      </c>
      <c r="G78" s="119"/>
      <c r="H78" s="119"/>
      <c r="I78" s="119"/>
      <c r="J78" s="119"/>
      <c r="K78" s="119"/>
      <c r="L78" s="119"/>
      <c r="M78" s="119"/>
      <c r="N78" s="119"/>
      <c r="O78" s="119"/>
      <c r="P78" s="119"/>
      <c r="Q78" s="119"/>
      <c r="R78" s="119"/>
      <c r="S78" s="119"/>
      <c r="T78" s="119"/>
      <c r="U78" s="119"/>
      <c r="V78" s="120" t="s">
        <v>133</v>
      </c>
      <c r="W78" s="120"/>
      <c r="X78" s="120"/>
      <c r="Y78" s="120"/>
      <c r="Z78" s="120"/>
      <c r="AA78" s="120"/>
      <c r="AB78" s="120"/>
      <c r="AC78" s="120"/>
      <c r="AD78" s="121"/>
      <c r="AE78" s="122"/>
      <c r="AF78" s="123"/>
      <c r="AG78" s="121"/>
      <c r="AH78" s="122"/>
      <c r="AI78" s="123"/>
      <c r="AJ78" s="127" t="s">
        <v>135</v>
      </c>
      <c r="AK78" s="128"/>
      <c r="AL78" s="128"/>
      <c r="AM78" s="128"/>
      <c r="AN78" s="128"/>
      <c r="AO78" s="128"/>
      <c r="AP78" s="128"/>
      <c r="AQ78" s="128"/>
      <c r="AR78" s="128"/>
      <c r="AS78" s="128"/>
      <c r="AT78" s="129"/>
      <c r="AU78" s="14"/>
    </row>
    <row r="79" spans="1:47" ht="22" customHeight="1" x14ac:dyDescent="0.35">
      <c r="A79" s="13"/>
      <c r="B79" s="116">
        <v>8</v>
      </c>
      <c r="C79" s="117"/>
      <c r="D79" s="117"/>
      <c r="E79" s="118"/>
      <c r="F79" s="119" t="s">
        <v>120</v>
      </c>
      <c r="G79" s="119"/>
      <c r="H79" s="119"/>
      <c r="I79" s="119"/>
      <c r="J79" s="119"/>
      <c r="K79" s="119"/>
      <c r="L79" s="119"/>
      <c r="M79" s="119"/>
      <c r="N79" s="119"/>
      <c r="O79" s="119"/>
      <c r="P79" s="119"/>
      <c r="Q79" s="119"/>
      <c r="R79" s="119"/>
      <c r="S79" s="119"/>
      <c r="T79" s="119"/>
      <c r="U79" s="119"/>
      <c r="V79" s="120"/>
      <c r="W79" s="120"/>
      <c r="X79" s="120"/>
      <c r="Y79" s="120"/>
      <c r="Z79" s="120"/>
      <c r="AA79" s="120"/>
      <c r="AB79" s="120"/>
      <c r="AC79" s="120"/>
      <c r="AD79" s="121" t="s">
        <v>133</v>
      </c>
      <c r="AE79" s="122"/>
      <c r="AF79" s="123"/>
      <c r="AG79" s="121"/>
      <c r="AH79" s="122"/>
      <c r="AI79" s="123"/>
      <c r="AJ79" s="124"/>
      <c r="AK79" s="125"/>
      <c r="AL79" s="125"/>
      <c r="AM79" s="125"/>
      <c r="AN79" s="125"/>
      <c r="AO79" s="125"/>
      <c r="AP79" s="125"/>
      <c r="AQ79" s="125"/>
      <c r="AR79" s="125"/>
      <c r="AS79" s="125"/>
      <c r="AT79" s="126"/>
      <c r="AU79" s="14"/>
    </row>
    <row r="80" spans="1:47" ht="38" customHeight="1" x14ac:dyDescent="0.35">
      <c r="A80" s="13"/>
      <c r="B80" s="116">
        <v>9</v>
      </c>
      <c r="C80" s="117"/>
      <c r="D80" s="117"/>
      <c r="E80" s="118"/>
      <c r="F80" s="119" t="s">
        <v>121</v>
      </c>
      <c r="G80" s="119"/>
      <c r="H80" s="119"/>
      <c r="I80" s="119"/>
      <c r="J80" s="119"/>
      <c r="K80" s="119"/>
      <c r="L80" s="119"/>
      <c r="M80" s="119"/>
      <c r="N80" s="119"/>
      <c r="O80" s="119"/>
      <c r="P80" s="119"/>
      <c r="Q80" s="119"/>
      <c r="R80" s="119"/>
      <c r="S80" s="119"/>
      <c r="T80" s="119"/>
      <c r="U80" s="119"/>
      <c r="V80" s="120"/>
      <c r="W80" s="120"/>
      <c r="X80" s="120"/>
      <c r="Y80" s="120"/>
      <c r="Z80" s="120"/>
      <c r="AA80" s="120" t="s">
        <v>133</v>
      </c>
      <c r="AB80" s="120"/>
      <c r="AC80" s="120"/>
      <c r="AD80" s="121"/>
      <c r="AE80" s="122"/>
      <c r="AF80" s="123"/>
      <c r="AG80" s="121"/>
      <c r="AH80" s="122"/>
      <c r="AI80" s="123"/>
      <c r="AJ80" s="127" t="s">
        <v>135</v>
      </c>
      <c r="AK80" s="128"/>
      <c r="AL80" s="128"/>
      <c r="AM80" s="128"/>
      <c r="AN80" s="128"/>
      <c r="AO80" s="128"/>
      <c r="AP80" s="128"/>
      <c r="AQ80" s="128"/>
      <c r="AR80" s="128"/>
      <c r="AS80" s="128"/>
      <c r="AT80" s="129"/>
      <c r="AU80" s="14"/>
    </row>
    <row r="81" spans="1:47" ht="26" customHeight="1" x14ac:dyDescent="0.35">
      <c r="A81" s="13"/>
      <c r="B81" s="116">
        <v>10</v>
      </c>
      <c r="C81" s="117"/>
      <c r="D81" s="117"/>
      <c r="E81" s="118"/>
      <c r="F81" s="119" t="s">
        <v>122</v>
      </c>
      <c r="G81" s="119"/>
      <c r="H81" s="119"/>
      <c r="I81" s="119"/>
      <c r="J81" s="119"/>
      <c r="K81" s="119"/>
      <c r="L81" s="119"/>
      <c r="M81" s="119"/>
      <c r="N81" s="119"/>
      <c r="O81" s="119"/>
      <c r="P81" s="119"/>
      <c r="Q81" s="119"/>
      <c r="R81" s="119"/>
      <c r="S81" s="119"/>
      <c r="T81" s="119"/>
      <c r="U81" s="119"/>
      <c r="V81" s="120"/>
      <c r="W81" s="120"/>
      <c r="X81" s="120"/>
      <c r="Y81" s="120"/>
      <c r="Z81" s="120"/>
      <c r="AA81" s="120" t="s">
        <v>133</v>
      </c>
      <c r="AB81" s="120"/>
      <c r="AC81" s="120"/>
      <c r="AD81" s="121"/>
      <c r="AE81" s="122"/>
      <c r="AF81" s="123"/>
      <c r="AG81" s="121"/>
      <c r="AH81" s="122"/>
      <c r="AI81" s="123"/>
      <c r="AJ81" s="127" t="s">
        <v>135</v>
      </c>
      <c r="AK81" s="128"/>
      <c r="AL81" s="128"/>
      <c r="AM81" s="128"/>
      <c r="AN81" s="128"/>
      <c r="AO81" s="128"/>
      <c r="AP81" s="128"/>
      <c r="AQ81" s="128"/>
      <c r="AR81" s="128"/>
      <c r="AS81" s="128"/>
      <c r="AT81" s="129"/>
      <c r="AU81" s="14"/>
    </row>
    <row r="82" spans="1:47" ht="41.5" customHeight="1" x14ac:dyDescent="0.35">
      <c r="A82" s="13"/>
      <c r="B82" s="116">
        <v>11</v>
      </c>
      <c r="C82" s="117"/>
      <c r="D82" s="117"/>
      <c r="E82" s="118"/>
      <c r="F82" s="119" t="s">
        <v>123</v>
      </c>
      <c r="G82" s="119"/>
      <c r="H82" s="119"/>
      <c r="I82" s="119"/>
      <c r="J82" s="119"/>
      <c r="K82" s="119"/>
      <c r="L82" s="119"/>
      <c r="M82" s="119"/>
      <c r="N82" s="119"/>
      <c r="O82" s="119"/>
      <c r="P82" s="119"/>
      <c r="Q82" s="119"/>
      <c r="R82" s="119"/>
      <c r="S82" s="119"/>
      <c r="T82" s="119"/>
      <c r="U82" s="119"/>
      <c r="V82" s="120"/>
      <c r="W82" s="120"/>
      <c r="X82" s="120"/>
      <c r="Y82" s="120"/>
      <c r="Z82" s="120"/>
      <c r="AA82" s="120" t="s">
        <v>133</v>
      </c>
      <c r="AB82" s="120"/>
      <c r="AC82" s="120"/>
      <c r="AD82" s="121"/>
      <c r="AE82" s="122"/>
      <c r="AF82" s="123"/>
      <c r="AG82" s="121"/>
      <c r="AH82" s="122"/>
      <c r="AI82" s="123"/>
      <c r="AJ82" s="127" t="s">
        <v>135</v>
      </c>
      <c r="AK82" s="128"/>
      <c r="AL82" s="128"/>
      <c r="AM82" s="128"/>
      <c r="AN82" s="128"/>
      <c r="AO82" s="128"/>
      <c r="AP82" s="128"/>
      <c r="AQ82" s="128"/>
      <c r="AR82" s="128"/>
      <c r="AS82" s="128"/>
      <c r="AT82" s="129"/>
      <c r="AU82" s="14"/>
    </row>
    <row r="83" spans="1:47" ht="27" customHeight="1" x14ac:dyDescent="0.35">
      <c r="A83" s="13"/>
      <c r="B83" s="116">
        <v>12</v>
      </c>
      <c r="C83" s="117"/>
      <c r="D83" s="117"/>
      <c r="E83" s="118"/>
      <c r="F83" s="119" t="s">
        <v>124</v>
      </c>
      <c r="G83" s="119"/>
      <c r="H83" s="119"/>
      <c r="I83" s="119"/>
      <c r="J83" s="119"/>
      <c r="K83" s="119"/>
      <c r="L83" s="119"/>
      <c r="M83" s="119"/>
      <c r="N83" s="119"/>
      <c r="O83" s="119"/>
      <c r="P83" s="119"/>
      <c r="Q83" s="119"/>
      <c r="R83" s="119"/>
      <c r="S83" s="119"/>
      <c r="T83" s="119"/>
      <c r="U83" s="119"/>
      <c r="V83" s="120"/>
      <c r="W83" s="120"/>
      <c r="X83" s="120"/>
      <c r="Y83" s="120"/>
      <c r="Z83" s="120"/>
      <c r="AA83" s="120"/>
      <c r="AB83" s="120"/>
      <c r="AC83" s="120"/>
      <c r="AD83" s="121" t="s">
        <v>133</v>
      </c>
      <c r="AE83" s="122"/>
      <c r="AF83" s="123"/>
      <c r="AG83" s="121"/>
      <c r="AH83" s="122"/>
      <c r="AI83" s="123"/>
      <c r="AJ83" s="124"/>
      <c r="AK83" s="125"/>
      <c r="AL83" s="125"/>
      <c r="AM83" s="125"/>
      <c r="AN83" s="125"/>
      <c r="AO83" s="125"/>
      <c r="AP83" s="125"/>
      <c r="AQ83" s="125"/>
      <c r="AR83" s="125"/>
      <c r="AS83" s="125"/>
      <c r="AT83" s="126"/>
      <c r="AU83" s="14"/>
    </row>
    <row r="84" spans="1:47" ht="27" customHeight="1" x14ac:dyDescent="0.35">
      <c r="A84" s="13"/>
      <c r="B84" s="116">
        <v>13</v>
      </c>
      <c r="C84" s="117"/>
      <c r="D84" s="117"/>
      <c r="E84" s="118"/>
      <c r="F84" s="119" t="s">
        <v>125</v>
      </c>
      <c r="G84" s="119"/>
      <c r="H84" s="119"/>
      <c r="I84" s="119"/>
      <c r="J84" s="119"/>
      <c r="K84" s="119"/>
      <c r="L84" s="119"/>
      <c r="M84" s="119"/>
      <c r="N84" s="119"/>
      <c r="O84" s="119"/>
      <c r="P84" s="119"/>
      <c r="Q84" s="119"/>
      <c r="R84" s="119"/>
      <c r="S84" s="119"/>
      <c r="T84" s="119"/>
      <c r="U84" s="119"/>
      <c r="V84" s="120"/>
      <c r="W84" s="120"/>
      <c r="X84" s="120"/>
      <c r="Y84" s="120"/>
      <c r="Z84" s="120"/>
      <c r="AA84" s="120"/>
      <c r="AB84" s="120"/>
      <c r="AC84" s="120"/>
      <c r="AD84" s="121" t="s">
        <v>133</v>
      </c>
      <c r="AE84" s="122"/>
      <c r="AF84" s="123"/>
      <c r="AG84" s="121"/>
      <c r="AH84" s="122"/>
      <c r="AI84" s="123"/>
      <c r="AJ84" s="124"/>
      <c r="AK84" s="125"/>
      <c r="AL84" s="125"/>
      <c r="AM84" s="125"/>
      <c r="AN84" s="125"/>
      <c r="AO84" s="125"/>
      <c r="AP84" s="125"/>
      <c r="AQ84" s="125"/>
      <c r="AR84" s="125"/>
      <c r="AS84" s="125"/>
      <c r="AT84" s="126"/>
      <c r="AU84" s="14"/>
    </row>
    <row r="85" spans="1:47" ht="45.5" customHeight="1" x14ac:dyDescent="0.35">
      <c r="A85" s="13"/>
      <c r="B85" s="116">
        <v>14</v>
      </c>
      <c r="C85" s="117"/>
      <c r="D85" s="117"/>
      <c r="E85" s="118"/>
      <c r="F85" s="119" t="s">
        <v>126</v>
      </c>
      <c r="G85" s="119"/>
      <c r="H85" s="119"/>
      <c r="I85" s="119"/>
      <c r="J85" s="119"/>
      <c r="K85" s="119"/>
      <c r="L85" s="119"/>
      <c r="M85" s="119"/>
      <c r="N85" s="119"/>
      <c r="O85" s="119"/>
      <c r="P85" s="119"/>
      <c r="Q85" s="119"/>
      <c r="R85" s="119"/>
      <c r="S85" s="119"/>
      <c r="T85" s="119"/>
      <c r="U85" s="119"/>
      <c r="V85" s="120"/>
      <c r="W85" s="120"/>
      <c r="X85" s="120"/>
      <c r="Y85" s="120"/>
      <c r="Z85" s="120"/>
      <c r="AA85" s="120"/>
      <c r="AB85" s="120"/>
      <c r="AC85" s="120"/>
      <c r="AD85" s="121" t="s">
        <v>133</v>
      </c>
      <c r="AE85" s="122"/>
      <c r="AF85" s="123"/>
      <c r="AG85" s="121"/>
      <c r="AH85" s="122"/>
      <c r="AI85" s="123"/>
      <c r="AJ85" s="124"/>
      <c r="AK85" s="125"/>
      <c r="AL85" s="125"/>
      <c r="AM85" s="125"/>
      <c r="AN85" s="125"/>
      <c r="AO85" s="125"/>
      <c r="AP85" s="125"/>
      <c r="AQ85" s="125"/>
      <c r="AR85" s="125"/>
      <c r="AS85" s="125"/>
      <c r="AT85" s="126"/>
      <c r="AU85" s="14"/>
    </row>
    <row r="86" spans="1:47" ht="27" customHeight="1" x14ac:dyDescent="0.35">
      <c r="A86" s="13"/>
      <c r="B86" s="116">
        <v>15</v>
      </c>
      <c r="C86" s="117"/>
      <c r="D86" s="117"/>
      <c r="E86" s="118"/>
      <c r="F86" s="119" t="s">
        <v>127</v>
      </c>
      <c r="G86" s="119"/>
      <c r="H86" s="119"/>
      <c r="I86" s="119"/>
      <c r="J86" s="119"/>
      <c r="K86" s="119"/>
      <c r="L86" s="119"/>
      <c r="M86" s="119"/>
      <c r="N86" s="119"/>
      <c r="O86" s="119"/>
      <c r="P86" s="119"/>
      <c r="Q86" s="119"/>
      <c r="R86" s="119"/>
      <c r="S86" s="119"/>
      <c r="T86" s="119"/>
      <c r="U86" s="119"/>
      <c r="V86" s="120"/>
      <c r="W86" s="120"/>
      <c r="X86" s="120"/>
      <c r="Y86" s="120"/>
      <c r="Z86" s="120"/>
      <c r="AA86" s="120"/>
      <c r="AB86" s="120"/>
      <c r="AC86" s="120"/>
      <c r="AD86" s="121" t="s">
        <v>133</v>
      </c>
      <c r="AE86" s="122"/>
      <c r="AF86" s="123"/>
      <c r="AG86" s="121"/>
      <c r="AH86" s="122"/>
      <c r="AI86" s="123"/>
      <c r="AJ86" s="124"/>
      <c r="AK86" s="125"/>
      <c r="AL86" s="125"/>
      <c r="AM86" s="125"/>
      <c r="AN86" s="125"/>
      <c r="AO86" s="125"/>
      <c r="AP86" s="125"/>
      <c r="AQ86" s="125"/>
      <c r="AR86" s="125"/>
      <c r="AS86" s="125"/>
      <c r="AT86" s="126"/>
      <c r="AU86" s="14"/>
    </row>
    <row r="87" spans="1:47" ht="27" customHeight="1" x14ac:dyDescent="0.35">
      <c r="A87" s="13"/>
      <c r="B87" s="116">
        <v>16</v>
      </c>
      <c r="C87" s="117"/>
      <c r="D87" s="117"/>
      <c r="E87" s="118"/>
      <c r="F87" s="119" t="s">
        <v>128</v>
      </c>
      <c r="G87" s="119"/>
      <c r="H87" s="119"/>
      <c r="I87" s="119"/>
      <c r="J87" s="119"/>
      <c r="K87" s="119"/>
      <c r="L87" s="119"/>
      <c r="M87" s="119"/>
      <c r="N87" s="119"/>
      <c r="O87" s="119"/>
      <c r="P87" s="119"/>
      <c r="Q87" s="119"/>
      <c r="R87" s="119"/>
      <c r="S87" s="119"/>
      <c r="T87" s="119"/>
      <c r="U87" s="119"/>
      <c r="V87" s="120"/>
      <c r="W87" s="120"/>
      <c r="X87" s="120"/>
      <c r="Y87" s="120"/>
      <c r="Z87" s="120"/>
      <c r="AA87" s="120"/>
      <c r="AB87" s="120"/>
      <c r="AC87" s="120"/>
      <c r="AD87" s="121" t="s">
        <v>133</v>
      </c>
      <c r="AE87" s="122"/>
      <c r="AF87" s="123"/>
      <c r="AG87" s="121"/>
      <c r="AH87" s="122"/>
      <c r="AI87" s="123"/>
      <c r="AJ87" s="124"/>
      <c r="AK87" s="125"/>
      <c r="AL87" s="125"/>
      <c r="AM87" s="125"/>
      <c r="AN87" s="125"/>
      <c r="AO87" s="125"/>
      <c r="AP87" s="125"/>
      <c r="AQ87" s="125"/>
      <c r="AR87" s="125"/>
      <c r="AS87" s="125"/>
      <c r="AT87" s="126"/>
      <c r="AU87" s="14"/>
    </row>
    <row r="88" spans="1:47" ht="27" customHeight="1" x14ac:dyDescent="0.35">
      <c r="A88" s="13"/>
      <c r="B88" s="116">
        <v>17</v>
      </c>
      <c r="C88" s="117"/>
      <c r="D88" s="117"/>
      <c r="E88" s="118"/>
      <c r="F88" s="119" t="s">
        <v>129</v>
      </c>
      <c r="G88" s="119"/>
      <c r="H88" s="119"/>
      <c r="I88" s="119"/>
      <c r="J88" s="119"/>
      <c r="K88" s="119"/>
      <c r="L88" s="119"/>
      <c r="M88" s="119"/>
      <c r="N88" s="119"/>
      <c r="O88" s="119"/>
      <c r="P88" s="119"/>
      <c r="Q88" s="119"/>
      <c r="R88" s="119"/>
      <c r="S88" s="119"/>
      <c r="T88" s="119"/>
      <c r="U88" s="119"/>
      <c r="V88" s="120" t="s">
        <v>133</v>
      </c>
      <c r="W88" s="120"/>
      <c r="X88" s="120"/>
      <c r="Y88" s="120"/>
      <c r="Z88" s="120"/>
      <c r="AA88" s="120"/>
      <c r="AB88" s="120"/>
      <c r="AC88" s="120"/>
      <c r="AD88" s="121"/>
      <c r="AE88" s="122"/>
      <c r="AF88" s="123"/>
      <c r="AG88" s="121"/>
      <c r="AH88" s="122"/>
      <c r="AI88" s="123"/>
      <c r="AJ88" s="127" t="s">
        <v>135</v>
      </c>
      <c r="AK88" s="128"/>
      <c r="AL88" s="128"/>
      <c r="AM88" s="128"/>
      <c r="AN88" s="128"/>
      <c r="AO88" s="128"/>
      <c r="AP88" s="128"/>
      <c r="AQ88" s="128"/>
      <c r="AR88" s="128"/>
      <c r="AS88" s="128"/>
      <c r="AT88" s="129"/>
      <c r="AU88" s="14"/>
    </row>
    <row r="89" spans="1:47" ht="27" customHeight="1" x14ac:dyDescent="0.35">
      <c r="A89" s="13"/>
      <c r="B89" s="116">
        <v>18</v>
      </c>
      <c r="C89" s="117"/>
      <c r="D89" s="117"/>
      <c r="E89" s="118"/>
      <c r="F89" s="119" t="s">
        <v>130</v>
      </c>
      <c r="G89" s="119"/>
      <c r="H89" s="119"/>
      <c r="I89" s="119"/>
      <c r="J89" s="119"/>
      <c r="K89" s="119"/>
      <c r="L89" s="119"/>
      <c r="M89" s="119"/>
      <c r="N89" s="119"/>
      <c r="O89" s="119"/>
      <c r="P89" s="119"/>
      <c r="Q89" s="119"/>
      <c r="R89" s="119"/>
      <c r="S89" s="119"/>
      <c r="T89" s="119"/>
      <c r="U89" s="119"/>
      <c r="V89" s="120"/>
      <c r="W89" s="120"/>
      <c r="X89" s="120"/>
      <c r="Y89" s="120"/>
      <c r="Z89" s="120"/>
      <c r="AA89" s="120"/>
      <c r="AB89" s="120"/>
      <c r="AC89" s="120"/>
      <c r="AD89" s="121" t="s">
        <v>133</v>
      </c>
      <c r="AE89" s="122"/>
      <c r="AF89" s="123"/>
      <c r="AG89" s="121"/>
      <c r="AH89" s="122"/>
      <c r="AI89" s="123"/>
      <c r="AJ89" s="124"/>
      <c r="AK89" s="125"/>
      <c r="AL89" s="125"/>
      <c r="AM89" s="125"/>
      <c r="AN89" s="125"/>
      <c r="AO89" s="125"/>
      <c r="AP89" s="125"/>
      <c r="AQ89" s="125"/>
      <c r="AR89" s="125"/>
      <c r="AS89" s="125"/>
      <c r="AT89" s="126"/>
      <c r="AU89" s="14"/>
    </row>
    <row r="90" spans="1:47" ht="24.75" customHeight="1" thickBot="1" x14ac:dyDescent="0.35">
      <c r="A90" s="13"/>
      <c r="B90" s="209" t="s">
        <v>79</v>
      </c>
      <c r="C90" s="209"/>
      <c r="D90" s="209"/>
      <c r="E90" s="209"/>
      <c r="F90" s="209"/>
      <c r="G90" s="209"/>
      <c r="H90" s="209"/>
      <c r="I90" s="209"/>
      <c r="J90" s="209"/>
      <c r="K90" s="209"/>
      <c r="L90" s="209"/>
      <c r="M90" s="209"/>
      <c r="N90" s="209"/>
      <c r="O90" s="209"/>
      <c r="P90" s="209"/>
      <c r="Q90" s="209"/>
      <c r="R90" s="209"/>
      <c r="S90" s="209"/>
      <c r="T90" s="209"/>
      <c r="U90" s="209"/>
      <c r="V90" s="209"/>
      <c r="W90" s="209"/>
      <c r="X90" s="209"/>
      <c r="Y90" s="209"/>
      <c r="Z90" s="209"/>
      <c r="AA90" s="209"/>
      <c r="AB90" s="209"/>
      <c r="AC90" s="209"/>
      <c r="AD90" s="209"/>
      <c r="AE90" s="209"/>
      <c r="AF90" s="209"/>
      <c r="AG90" s="209"/>
      <c r="AH90" s="209"/>
      <c r="AI90" s="209"/>
      <c r="AJ90" s="209"/>
      <c r="AK90" s="209"/>
      <c r="AL90" s="209"/>
      <c r="AM90" s="209"/>
      <c r="AN90" s="209"/>
      <c r="AO90" s="209"/>
      <c r="AP90" s="209"/>
      <c r="AQ90" s="209"/>
      <c r="AR90" s="209"/>
      <c r="AS90" s="209"/>
      <c r="AT90" s="209"/>
      <c r="AU90" s="14"/>
    </row>
    <row r="91" spans="1:47" ht="33.75" customHeight="1" thickBot="1" x14ac:dyDescent="0.4">
      <c r="A91" s="13"/>
      <c r="B91" s="133"/>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c r="AA91" s="134"/>
      <c r="AB91" s="134"/>
      <c r="AC91" s="134"/>
      <c r="AD91" s="134"/>
      <c r="AE91" s="134"/>
      <c r="AF91" s="134"/>
      <c r="AG91" s="134"/>
      <c r="AH91" s="134"/>
      <c r="AI91" s="134"/>
      <c r="AJ91" s="134"/>
      <c r="AK91" s="134"/>
      <c r="AL91" s="134"/>
      <c r="AM91" s="134"/>
      <c r="AN91" s="134"/>
      <c r="AO91" s="134"/>
      <c r="AP91" s="134"/>
      <c r="AQ91" s="134"/>
      <c r="AR91" s="134"/>
      <c r="AS91" s="134"/>
      <c r="AT91" s="135"/>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138" t="s">
        <v>77</v>
      </c>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c r="AE94" s="138"/>
      <c r="AF94" s="138"/>
      <c r="AG94" s="138"/>
      <c r="AH94" s="138"/>
      <c r="AI94" s="138"/>
      <c r="AJ94" s="138"/>
      <c r="AK94" s="138"/>
      <c r="AL94" s="138"/>
      <c r="AM94" s="138"/>
      <c r="AN94" s="138"/>
      <c r="AO94" s="138"/>
      <c r="AP94" s="138"/>
      <c r="AQ94" s="138"/>
      <c r="AR94" s="138"/>
      <c r="AS94" s="138"/>
      <c r="AT94" s="138"/>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183"/>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4"/>
      <c r="AR96" s="184"/>
      <c r="AS96" s="184"/>
      <c r="AT96" s="185"/>
      <c r="AU96" s="14"/>
    </row>
    <row r="97" spans="1:47" ht="12.65" customHeight="1" x14ac:dyDescent="0.35">
      <c r="A97" s="13"/>
      <c r="B97" s="186"/>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7"/>
      <c r="AR97" s="187"/>
      <c r="AS97" s="187"/>
      <c r="AT97" s="188"/>
      <c r="AU97" s="14"/>
    </row>
    <row r="98" spans="1:47" ht="12.65" customHeight="1" thickBot="1" x14ac:dyDescent="0.4">
      <c r="A98" s="13"/>
      <c r="B98" s="189"/>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c r="AA98" s="190"/>
      <c r="AB98" s="190"/>
      <c r="AC98" s="190"/>
      <c r="AD98" s="190"/>
      <c r="AE98" s="190"/>
      <c r="AF98" s="190"/>
      <c r="AG98" s="190"/>
      <c r="AH98" s="190"/>
      <c r="AI98" s="190"/>
      <c r="AJ98" s="190"/>
      <c r="AK98" s="190"/>
      <c r="AL98" s="190"/>
      <c r="AM98" s="190"/>
      <c r="AN98" s="190"/>
      <c r="AO98" s="190"/>
      <c r="AP98" s="190"/>
      <c r="AQ98" s="190"/>
      <c r="AR98" s="190"/>
      <c r="AS98" s="190"/>
      <c r="AT98" s="191"/>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132" t="s">
        <v>98</v>
      </c>
      <c r="C100" s="132"/>
      <c r="D100" s="132"/>
      <c r="E100" s="132"/>
      <c r="F100" s="132"/>
      <c r="G100" s="132"/>
      <c r="H100" s="132"/>
      <c r="I100" s="132"/>
      <c r="J100" s="132"/>
      <c r="K100" s="132"/>
      <c r="L100" s="132"/>
      <c r="M100" s="132"/>
      <c r="N100" s="132"/>
      <c r="O100" s="132"/>
      <c r="P100" s="132"/>
      <c r="Q100" s="132"/>
      <c r="R100" s="132"/>
      <c r="S100" s="132"/>
      <c r="T100" s="132"/>
      <c r="U100" s="132"/>
      <c r="V100" s="132"/>
      <c r="W100" s="132"/>
      <c r="X100" s="132"/>
      <c r="Y100" s="132"/>
      <c r="Z100" s="132"/>
      <c r="AA100" s="132"/>
      <c r="AB100" s="132"/>
      <c r="AC100" s="132"/>
      <c r="AD100" s="132"/>
      <c r="AE100" s="132"/>
      <c r="AF100" s="132"/>
      <c r="AG100" s="132"/>
      <c r="AH100" s="132"/>
      <c r="AI100" s="132"/>
      <c r="AJ100" s="132"/>
      <c r="AK100" s="132"/>
      <c r="AL100" s="132"/>
      <c r="AM100" s="132"/>
      <c r="AN100" s="132"/>
      <c r="AO100" s="132"/>
      <c r="AP100" s="132"/>
      <c r="AQ100" s="132"/>
      <c r="AR100" s="132"/>
      <c r="AS100" s="132"/>
      <c r="AT100" s="132"/>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133"/>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c r="AA102" s="134"/>
      <c r="AB102" s="134"/>
      <c r="AC102" s="134"/>
      <c r="AD102" s="134"/>
      <c r="AE102" s="134"/>
      <c r="AF102" s="134"/>
      <c r="AG102" s="134"/>
      <c r="AH102" s="134"/>
      <c r="AI102" s="134"/>
      <c r="AJ102" s="134"/>
      <c r="AK102" s="134"/>
      <c r="AL102" s="134"/>
      <c r="AM102" s="134"/>
      <c r="AN102" s="134"/>
      <c r="AO102" s="134"/>
      <c r="AP102" s="134"/>
      <c r="AQ102" s="134"/>
      <c r="AR102" s="134"/>
      <c r="AS102" s="134"/>
      <c r="AT102" s="135"/>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132" t="s">
        <v>96</v>
      </c>
      <c r="C104" s="132"/>
      <c r="D104" s="132"/>
      <c r="E104" s="132"/>
      <c r="F104" s="132"/>
      <c r="G104" s="132"/>
      <c r="H104" s="132"/>
      <c r="I104" s="132"/>
      <c r="J104" s="132"/>
      <c r="K104" s="132"/>
      <c r="L104" s="132"/>
      <c r="M104" s="132"/>
      <c r="N104" s="132"/>
      <c r="O104" s="132"/>
      <c r="P104" s="132"/>
      <c r="Q104" s="132"/>
      <c r="R104" s="132"/>
      <c r="S104" s="132"/>
      <c r="T104" s="132"/>
      <c r="U104" s="132"/>
      <c r="V104" s="132"/>
      <c r="W104" s="132"/>
      <c r="X104" s="132"/>
      <c r="Y104" s="132"/>
      <c r="Z104" s="132"/>
      <c r="AA104" s="132"/>
      <c r="AB104" s="132"/>
      <c r="AC104" s="132"/>
      <c r="AD104" s="132"/>
      <c r="AE104" s="132"/>
      <c r="AF104" s="132"/>
      <c r="AG104" s="132"/>
      <c r="AH104" s="132"/>
      <c r="AI104" s="132"/>
      <c r="AJ104" s="132"/>
      <c r="AK104" s="132"/>
      <c r="AL104" s="132"/>
      <c r="AM104" s="132"/>
      <c r="AN104" s="132"/>
      <c r="AO104" s="132"/>
      <c r="AP104" s="132"/>
      <c r="AQ104" s="132"/>
      <c r="AR104" s="132"/>
      <c r="AS104" s="132"/>
      <c r="AT104" s="132"/>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69" t="s">
        <v>54</v>
      </c>
      <c r="C106" s="169"/>
      <c r="D106" s="169"/>
      <c r="E106" s="169"/>
      <c r="F106" s="169"/>
      <c r="G106" s="169"/>
      <c r="H106" s="169"/>
      <c r="I106" s="169"/>
      <c r="J106" s="169"/>
      <c r="K106" s="169"/>
      <c r="L106" s="169"/>
      <c r="M106" s="169"/>
      <c r="N106" s="169"/>
      <c r="O106" s="169"/>
      <c r="P106" s="169"/>
      <c r="Q106" s="169"/>
      <c r="R106" s="169"/>
      <c r="S106" s="169"/>
      <c r="T106" s="169"/>
      <c r="U106" s="169"/>
      <c r="V106" s="169"/>
      <c r="W106" s="169"/>
      <c r="X106" s="169"/>
      <c r="Y106" s="169"/>
      <c r="Z106" s="169"/>
      <c r="AA106" s="169"/>
      <c r="AB106" s="169"/>
      <c r="AC106" s="169"/>
      <c r="AD106" s="169"/>
      <c r="AE106" s="169"/>
      <c r="AF106" s="169"/>
      <c r="AG106" s="169"/>
      <c r="AH106" s="169"/>
      <c r="AI106" s="169"/>
      <c r="AJ106" s="169"/>
      <c r="AK106" s="169"/>
      <c r="AL106" s="169"/>
      <c r="AM106" s="169"/>
      <c r="AN106" s="169"/>
      <c r="AO106" s="169"/>
      <c r="AP106" s="169"/>
      <c r="AQ106" s="169"/>
      <c r="AR106" s="169"/>
      <c r="AS106" s="169"/>
      <c r="AT106" s="169"/>
      <c r="AU106" s="14"/>
    </row>
    <row r="107" spans="1:47" ht="28.5" customHeight="1" thickBot="1" x14ac:dyDescent="0.4">
      <c r="A107" s="13"/>
      <c r="B107" s="41" t="s">
        <v>21</v>
      </c>
      <c r="C107" s="136" t="s">
        <v>8</v>
      </c>
      <c r="D107" s="136"/>
      <c r="E107" s="136"/>
      <c r="F107" s="136"/>
      <c r="G107" s="136"/>
      <c r="H107" s="136" t="s">
        <v>49</v>
      </c>
      <c r="I107" s="136"/>
      <c r="J107" s="136"/>
      <c r="K107" s="136"/>
      <c r="L107" s="136"/>
      <c r="M107" s="407" t="s">
        <v>48</v>
      </c>
      <c r="N107" s="407"/>
      <c r="O107" s="407"/>
      <c r="P107" s="407" t="s">
        <v>59</v>
      </c>
      <c r="Q107" s="407"/>
      <c r="R107" s="407"/>
      <c r="S107" s="407" t="s">
        <v>50</v>
      </c>
      <c r="T107" s="407"/>
      <c r="U107" s="407"/>
      <c r="V107" s="407" t="s">
        <v>60</v>
      </c>
      <c r="W107" s="407"/>
      <c r="X107" s="136" t="s">
        <v>51</v>
      </c>
      <c r="Y107" s="136"/>
      <c r="Z107" s="136"/>
      <c r="AA107" s="136"/>
      <c r="AB107" s="136"/>
      <c r="AC107" s="136"/>
      <c r="AD107" s="136"/>
      <c r="AE107" s="136"/>
      <c r="AF107" s="136"/>
      <c r="AG107" s="136"/>
      <c r="AH107" s="136"/>
      <c r="AI107" s="136"/>
      <c r="AJ107" s="136"/>
      <c r="AK107" s="136"/>
      <c r="AL107" s="136"/>
      <c r="AM107" s="136"/>
      <c r="AN107" s="136" t="s">
        <v>11</v>
      </c>
      <c r="AO107" s="136"/>
      <c r="AP107" s="136"/>
      <c r="AQ107" s="136"/>
      <c r="AR107" s="136"/>
      <c r="AS107" s="136"/>
      <c r="AT107" s="137"/>
      <c r="AU107" s="14"/>
    </row>
    <row r="108" spans="1:47" ht="51" customHeight="1" x14ac:dyDescent="0.35">
      <c r="A108" s="13"/>
      <c r="B108" s="54">
        <v>1</v>
      </c>
      <c r="C108" s="179">
        <v>45975</v>
      </c>
      <c r="D108" s="179"/>
      <c r="E108" s="179"/>
      <c r="F108" s="179"/>
      <c r="G108" s="179"/>
      <c r="H108" s="166" t="s">
        <v>131</v>
      </c>
      <c r="I108" s="166"/>
      <c r="J108" s="166"/>
      <c r="K108" s="166"/>
      <c r="L108" s="166"/>
      <c r="M108" s="166">
        <v>27254</v>
      </c>
      <c r="N108" s="166"/>
      <c r="O108" s="166"/>
      <c r="P108" s="166">
        <v>25327</v>
      </c>
      <c r="Q108" s="166"/>
      <c r="R108" s="166"/>
      <c r="S108" s="166">
        <v>11103</v>
      </c>
      <c r="T108" s="166"/>
      <c r="U108" s="166"/>
      <c r="V108" s="166">
        <v>9646</v>
      </c>
      <c r="W108" s="166"/>
      <c r="X108" s="165" t="s">
        <v>132</v>
      </c>
      <c r="Y108" s="165"/>
      <c r="Z108" s="165"/>
      <c r="AA108" s="165"/>
      <c r="AB108" s="165"/>
      <c r="AC108" s="165"/>
      <c r="AD108" s="165"/>
      <c r="AE108" s="165"/>
      <c r="AF108" s="165"/>
      <c r="AG108" s="165"/>
      <c r="AH108" s="165"/>
      <c r="AI108" s="165"/>
      <c r="AJ108" s="165"/>
      <c r="AK108" s="165"/>
      <c r="AL108" s="165"/>
      <c r="AM108" s="165"/>
      <c r="AN108" s="172">
        <v>27331418.760000002</v>
      </c>
      <c r="AO108" s="172"/>
      <c r="AP108" s="172"/>
      <c r="AQ108" s="172"/>
      <c r="AR108" s="172"/>
      <c r="AS108" s="172"/>
      <c r="AT108" s="173"/>
      <c r="AU108" s="14"/>
    </row>
    <row r="109" spans="1:47" ht="13" x14ac:dyDescent="0.35">
      <c r="A109" s="13"/>
      <c r="B109" s="39">
        <v>2</v>
      </c>
      <c r="C109" s="168"/>
      <c r="D109" s="168"/>
      <c r="E109" s="168"/>
      <c r="F109" s="168"/>
      <c r="G109" s="168"/>
      <c r="H109" s="168"/>
      <c r="I109" s="168"/>
      <c r="J109" s="168"/>
      <c r="K109" s="168"/>
      <c r="L109" s="168"/>
      <c r="M109" s="166"/>
      <c r="N109" s="166"/>
      <c r="O109" s="166"/>
      <c r="P109" s="166"/>
      <c r="Q109" s="166"/>
      <c r="R109" s="166"/>
      <c r="S109" s="166"/>
      <c r="T109" s="166"/>
      <c r="U109" s="166"/>
      <c r="V109" s="166"/>
      <c r="W109" s="166"/>
      <c r="X109" s="168"/>
      <c r="Y109" s="168"/>
      <c r="Z109" s="168"/>
      <c r="AA109" s="168"/>
      <c r="AB109" s="168"/>
      <c r="AC109" s="168"/>
      <c r="AD109" s="168"/>
      <c r="AE109" s="168"/>
      <c r="AF109" s="168"/>
      <c r="AG109" s="168"/>
      <c r="AH109" s="168"/>
      <c r="AI109" s="168"/>
      <c r="AJ109" s="168"/>
      <c r="AK109" s="168"/>
      <c r="AL109" s="168"/>
      <c r="AM109" s="168"/>
      <c r="AN109" s="170"/>
      <c r="AO109" s="170"/>
      <c r="AP109" s="170"/>
      <c r="AQ109" s="170"/>
      <c r="AR109" s="170"/>
      <c r="AS109" s="170"/>
      <c r="AT109" s="171"/>
      <c r="AU109" s="14"/>
    </row>
    <row r="110" spans="1:47" ht="13" x14ac:dyDescent="0.35">
      <c r="A110" s="13"/>
      <c r="B110" s="39">
        <v>3</v>
      </c>
      <c r="C110" s="168"/>
      <c r="D110" s="168"/>
      <c r="E110" s="168"/>
      <c r="F110" s="168"/>
      <c r="G110" s="168"/>
      <c r="H110" s="168"/>
      <c r="I110" s="168"/>
      <c r="J110" s="168"/>
      <c r="K110" s="168"/>
      <c r="L110" s="168"/>
      <c r="M110" s="166"/>
      <c r="N110" s="166"/>
      <c r="O110" s="166"/>
      <c r="P110" s="166"/>
      <c r="Q110" s="166"/>
      <c r="R110" s="166"/>
      <c r="S110" s="166"/>
      <c r="T110" s="166"/>
      <c r="U110" s="166"/>
      <c r="V110" s="166"/>
      <c r="W110" s="166"/>
      <c r="X110" s="168"/>
      <c r="Y110" s="168"/>
      <c r="Z110" s="168"/>
      <c r="AA110" s="168"/>
      <c r="AB110" s="168"/>
      <c r="AC110" s="168"/>
      <c r="AD110" s="168"/>
      <c r="AE110" s="168"/>
      <c r="AF110" s="168"/>
      <c r="AG110" s="168"/>
      <c r="AH110" s="168"/>
      <c r="AI110" s="168"/>
      <c r="AJ110" s="168"/>
      <c r="AK110" s="168"/>
      <c r="AL110" s="168"/>
      <c r="AM110" s="168"/>
      <c r="AN110" s="170"/>
      <c r="AO110" s="170"/>
      <c r="AP110" s="170"/>
      <c r="AQ110" s="170"/>
      <c r="AR110" s="170"/>
      <c r="AS110" s="170"/>
      <c r="AT110" s="171"/>
      <c r="AU110" s="14"/>
    </row>
    <row r="111" spans="1:47" ht="12.65" customHeight="1" x14ac:dyDescent="0.35">
      <c r="A111" s="13"/>
      <c r="B111" s="39">
        <v>4</v>
      </c>
      <c r="C111" s="168"/>
      <c r="D111" s="168"/>
      <c r="E111" s="168"/>
      <c r="F111" s="168"/>
      <c r="G111" s="168"/>
      <c r="H111" s="168"/>
      <c r="I111" s="168"/>
      <c r="J111" s="168"/>
      <c r="K111" s="168"/>
      <c r="L111" s="168"/>
      <c r="M111" s="166"/>
      <c r="N111" s="166"/>
      <c r="O111" s="166"/>
      <c r="P111" s="166"/>
      <c r="Q111" s="166"/>
      <c r="R111" s="166"/>
      <c r="S111" s="166"/>
      <c r="T111" s="166"/>
      <c r="U111" s="166"/>
      <c r="V111" s="166"/>
      <c r="W111" s="166"/>
      <c r="X111" s="168"/>
      <c r="Y111" s="168"/>
      <c r="Z111" s="168"/>
      <c r="AA111" s="168"/>
      <c r="AB111" s="168"/>
      <c r="AC111" s="168"/>
      <c r="AD111" s="168"/>
      <c r="AE111" s="168"/>
      <c r="AF111" s="168"/>
      <c r="AG111" s="168"/>
      <c r="AH111" s="168"/>
      <c r="AI111" s="168"/>
      <c r="AJ111" s="168"/>
      <c r="AK111" s="168"/>
      <c r="AL111" s="168"/>
      <c r="AM111" s="168"/>
      <c r="AN111" s="170"/>
      <c r="AO111" s="170"/>
      <c r="AP111" s="170"/>
      <c r="AQ111" s="170"/>
      <c r="AR111" s="170"/>
      <c r="AS111" s="170"/>
      <c r="AT111" s="171"/>
      <c r="AU111" s="14"/>
    </row>
    <row r="112" spans="1:47" ht="12.65" customHeight="1" thickBot="1" x14ac:dyDescent="0.4">
      <c r="A112" s="13"/>
      <c r="B112" s="40">
        <v>5</v>
      </c>
      <c r="C112" s="177"/>
      <c r="D112" s="177"/>
      <c r="E112" s="177"/>
      <c r="F112" s="177"/>
      <c r="G112" s="177"/>
      <c r="H112" s="177"/>
      <c r="I112" s="177"/>
      <c r="J112" s="177"/>
      <c r="K112" s="177"/>
      <c r="L112" s="177"/>
      <c r="M112" s="167"/>
      <c r="N112" s="167"/>
      <c r="O112" s="167"/>
      <c r="P112" s="167"/>
      <c r="Q112" s="167"/>
      <c r="R112" s="167"/>
      <c r="S112" s="167"/>
      <c r="T112" s="167"/>
      <c r="U112" s="167"/>
      <c r="V112" s="167"/>
      <c r="W112" s="167"/>
      <c r="X112" s="177"/>
      <c r="Y112" s="177"/>
      <c r="Z112" s="177"/>
      <c r="AA112" s="177"/>
      <c r="AB112" s="177"/>
      <c r="AC112" s="177"/>
      <c r="AD112" s="177"/>
      <c r="AE112" s="177"/>
      <c r="AF112" s="177"/>
      <c r="AG112" s="177"/>
      <c r="AH112" s="177"/>
      <c r="AI112" s="177"/>
      <c r="AJ112" s="177"/>
      <c r="AK112" s="177"/>
      <c r="AL112" s="177"/>
      <c r="AM112" s="177"/>
      <c r="AN112" s="130"/>
      <c r="AO112" s="130"/>
      <c r="AP112" s="130"/>
      <c r="AQ112" s="130"/>
      <c r="AR112" s="130"/>
      <c r="AS112" s="130"/>
      <c r="AT112" s="131"/>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174">
        <f>SUM(AN108:AT112)</f>
        <v>27331418.760000002</v>
      </c>
      <c r="AO113" s="175"/>
      <c r="AP113" s="175"/>
      <c r="AQ113" s="175"/>
      <c r="AR113" s="175"/>
      <c r="AS113" s="175"/>
      <c r="AT113" s="176"/>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178"/>
      <c r="AI114" s="178"/>
      <c r="AJ114" s="178"/>
      <c r="AK114" s="178"/>
      <c r="AL114" s="178"/>
      <c r="AM114" s="178"/>
      <c r="AN114" s="178"/>
      <c r="AO114" s="178"/>
      <c r="AP114" s="178"/>
      <c r="AQ114" s="178"/>
      <c r="AR114" s="178"/>
      <c r="AS114" s="178"/>
      <c r="AT114" s="178"/>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178"/>
      <c r="AI115" s="178"/>
      <c r="AJ115" s="178"/>
      <c r="AK115" s="178"/>
      <c r="AL115" s="178"/>
      <c r="AM115" s="178"/>
      <c r="AN115" s="178"/>
      <c r="AO115" s="178"/>
      <c r="AP115" s="178"/>
      <c r="AQ115" s="178"/>
      <c r="AR115" s="178"/>
      <c r="AS115" s="178"/>
      <c r="AT115" s="178"/>
      <c r="AU115" s="14"/>
    </row>
    <row r="116" spans="1:52" ht="12.65" customHeight="1" thickBot="1" x14ac:dyDescent="0.4">
      <c r="A116" s="13"/>
      <c r="B116" s="169" t="s">
        <v>53</v>
      </c>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169"/>
      <c r="AB116" s="169"/>
      <c r="AC116" s="169"/>
      <c r="AD116" s="169"/>
      <c r="AE116" s="169"/>
      <c r="AF116" s="169"/>
      <c r="AG116" s="169"/>
      <c r="AH116" s="169"/>
      <c r="AI116" s="169"/>
      <c r="AJ116" s="169"/>
      <c r="AK116" s="169"/>
      <c r="AL116" s="169"/>
      <c r="AM116" s="169"/>
      <c r="AN116" s="169"/>
      <c r="AO116" s="169"/>
      <c r="AP116" s="169"/>
      <c r="AQ116" s="169"/>
      <c r="AR116" s="169"/>
      <c r="AS116" s="169"/>
      <c r="AT116" s="169"/>
      <c r="AU116" s="14"/>
    </row>
    <row r="117" spans="1:52" s="63" customFormat="1" ht="26.25" customHeight="1" thickBot="1" x14ac:dyDescent="0.4">
      <c r="A117" s="59"/>
      <c r="B117" s="93" t="s">
        <v>21</v>
      </c>
      <c r="C117" s="148" t="s">
        <v>8</v>
      </c>
      <c r="D117" s="148"/>
      <c r="E117" s="148"/>
      <c r="F117" s="148"/>
      <c r="G117" s="148"/>
      <c r="H117" s="148" t="s">
        <v>49</v>
      </c>
      <c r="I117" s="148"/>
      <c r="J117" s="148"/>
      <c r="K117" s="148"/>
      <c r="L117" s="148"/>
      <c r="M117" s="151" t="s">
        <v>48</v>
      </c>
      <c r="N117" s="151"/>
      <c r="O117" s="151"/>
      <c r="P117" s="151" t="s">
        <v>59</v>
      </c>
      <c r="Q117" s="151"/>
      <c r="R117" s="151"/>
      <c r="S117" s="151" t="s">
        <v>50</v>
      </c>
      <c r="T117" s="151"/>
      <c r="U117" s="151"/>
      <c r="V117" s="151" t="s">
        <v>60</v>
      </c>
      <c r="W117" s="151"/>
      <c r="X117" s="148" t="s">
        <v>51</v>
      </c>
      <c r="Y117" s="148"/>
      <c r="Z117" s="148"/>
      <c r="AA117" s="148"/>
      <c r="AB117" s="148"/>
      <c r="AC117" s="148"/>
      <c r="AD117" s="148"/>
      <c r="AE117" s="148"/>
      <c r="AF117" s="148"/>
      <c r="AG117" s="148"/>
      <c r="AH117" s="148"/>
      <c r="AI117" s="148"/>
      <c r="AJ117" s="148"/>
      <c r="AK117" s="148"/>
      <c r="AL117" s="148"/>
      <c r="AM117" s="148"/>
      <c r="AN117" s="148" t="s">
        <v>11</v>
      </c>
      <c r="AO117" s="148"/>
      <c r="AP117" s="148"/>
      <c r="AQ117" s="148"/>
      <c r="AR117" s="148"/>
      <c r="AS117" s="148"/>
      <c r="AT117" s="149"/>
      <c r="AU117" s="62"/>
      <c r="AZ117" s="94">
        <f>+AN50</f>
        <v>86531419</v>
      </c>
    </row>
    <row r="118" spans="1:52" s="63" customFormat="1" ht="49.5" customHeight="1" x14ac:dyDescent="0.35">
      <c r="A118" s="59"/>
      <c r="B118" s="95">
        <v>1</v>
      </c>
      <c r="C118" s="140">
        <v>46037</v>
      </c>
      <c r="D118" s="140"/>
      <c r="E118" s="140"/>
      <c r="F118" s="140"/>
      <c r="G118" s="140"/>
      <c r="H118" s="141" t="s">
        <v>139</v>
      </c>
      <c r="I118" s="141"/>
      <c r="J118" s="141"/>
      <c r="K118" s="141"/>
      <c r="L118" s="141"/>
      <c r="M118" s="141">
        <v>27254</v>
      </c>
      <c r="N118" s="141"/>
      <c r="O118" s="141"/>
      <c r="P118" s="141">
        <v>25327</v>
      </c>
      <c r="Q118" s="141"/>
      <c r="R118" s="141"/>
      <c r="S118" s="141">
        <v>11103</v>
      </c>
      <c r="T118" s="141"/>
      <c r="U118" s="141"/>
      <c r="V118" s="141">
        <v>9646</v>
      </c>
      <c r="W118" s="141"/>
      <c r="X118" s="142" t="s">
        <v>140</v>
      </c>
      <c r="Y118" s="142"/>
      <c r="Z118" s="142"/>
      <c r="AA118" s="142"/>
      <c r="AB118" s="142"/>
      <c r="AC118" s="142"/>
      <c r="AD118" s="142"/>
      <c r="AE118" s="142"/>
      <c r="AF118" s="142"/>
      <c r="AG118" s="142"/>
      <c r="AH118" s="142"/>
      <c r="AI118" s="142"/>
      <c r="AJ118" s="142"/>
      <c r="AK118" s="142"/>
      <c r="AL118" s="142"/>
      <c r="AM118" s="142"/>
      <c r="AN118" s="162">
        <v>42000000</v>
      </c>
      <c r="AO118" s="162"/>
      <c r="AP118" s="162"/>
      <c r="AQ118" s="162"/>
      <c r="AR118" s="162"/>
      <c r="AS118" s="162"/>
      <c r="AT118" s="163"/>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97"/>
      <c r="AO119" s="97"/>
      <c r="AP119" s="97"/>
      <c r="AQ119" s="97"/>
      <c r="AR119" s="97"/>
      <c r="AS119" s="97"/>
      <c r="AT119" s="97"/>
      <c r="AU119" s="62"/>
      <c r="AZ119" s="94">
        <f>+AZ117-AN113</f>
        <v>59200000.239999995</v>
      </c>
    </row>
    <row r="120" spans="1:52" s="63" customFormat="1" ht="12.65" hidden="1" customHeight="1" x14ac:dyDescent="0.35">
      <c r="A120" s="59"/>
      <c r="B120" s="158" t="s">
        <v>94</v>
      </c>
      <c r="C120" s="158"/>
      <c r="D120" s="158"/>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158"/>
      <c r="AB120" s="158"/>
      <c r="AC120" s="158"/>
      <c r="AD120" s="158"/>
      <c r="AE120" s="158"/>
      <c r="AF120" s="158"/>
      <c r="AG120" s="158"/>
      <c r="AH120" s="158"/>
      <c r="AI120" s="158"/>
      <c r="AJ120" s="158"/>
      <c r="AK120" s="158"/>
      <c r="AL120" s="158"/>
      <c r="AM120" s="158"/>
      <c r="AN120" s="158"/>
      <c r="AO120" s="158"/>
      <c r="AP120" s="158"/>
      <c r="AQ120" s="158"/>
      <c r="AR120" s="158"/>
      <c r="AS120" s="158"/>
      <c r="AT120" s="158"/>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159" t="s">
        <v>93</v>
      </c>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160"/>
      <c r="AB122" s="160"/>
      <c r="AC122" s="160"/>
      <c r="AD122" s="160"/>
      <c r="AE122" s="160"/>
      <c r="AF122" s="160"/>
      <c r="AG122" s="160"/>
      <c r="AH122" s="160"/>
      <c r="AI122" s="160"/>
      <c r="AJ122" s="160"/>
      <c r="AK122" s="160"/>
      <c r="AL122" s="160"/>
      <c r="AM122" s="160"/>
      <c r="AN122" s="160"/>
      <c r="AO122" s="160"/>
      <c r="AP122" s="160"/>
      <c r="AQ122" s="160"/>
      <c r="AR122" s="160"/>
      <c r="AS122" s="160"/>
      <c r="AT122" s="161"/>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150"/>
      <c r="J124" s="150"/>
      <c r="K124" s="150"/>
      <c r="L124" s="150"/>
      <c r="M124" s="150"/>
      <c r="N124" s="150"/>
      <c r="O124" s="61"/>
      <c r="P124" s="61"/>
      <c r="Q124" s="100"/>
      <c r="R124" s="61"/>
      <c r="S124" s="61"/>
      <c r="T124" s="61"/>
      <c r="U124" s="61"/>
      <c r="V124" s="61"/>
      <c r="W124" s="61"/>
      <c r="X124" s="101"/>
      <c r="Y124" s="150"/>
      <c r="Z124" s="150"/>
      <c r="AA124" s="150"/>
      <c r="AB124" s="150"/>
      <c r="AC124" s="150"/>
      <c r="AD124" s="150"/>
      <c r="AE124" s="150"/>
      <c r="AF124" s="100"/>
      <c r="AG124" s="100"/>
      <c r="AH124" s="61"/>
      <c r="AI124" s="61"/>
      <c r="AJ124" s="61"/>
      <c r="AK124" s="61"/>
      <c r="AL124" s="61"/>
      <c r="AM124" s="101" t="s">
        <v>35</v>
      </c>
      <c r="AN124" s="155">
        <f>+J37</f>
        <v>386128219</v>
      </c>
      <c r="AO124" s="156"/>
      <c r="AP124" s="156"/>
      <c r="AQ124" s="156"/>
      <c r="AR124" s="156"/>
      <c r="AS124" s="156"/>
      <c r="AT124" s="157"/>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145">
        <f>+AN113</f>
        <v>27331418.760000002</v>
      </c>
      <c r="AO126" s="146"/>
      <c r="AP126" s="146"/>
      <c r="AQ126" s="146"/>
      <c r="AR126" s="146"/>
      <c r="AS126" s="146"/>
      <c r="AT126" s="147"/>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145">
        <f>SUM(AN118:AT118)</f>
        <v>42000000</v>
      </c>
      <c r="AO128" s="146"/>
      <c r="AP128" s="146"/>
      <c r="AQ128" s="146"/>
      <c r="AR128" s="146"/>
      <c r="AS128" s="146"/>
      <c r="AT128" s="147"/>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145">
        <f>AN124-(AN126+AN128)</f>
        <v>316796800.24000001</v>
      </c>
      <c r="AO130" s="146"/>
      <c r="AP130" s="146"/>
      <c r="AQ130" s="146"/>
      <c r="AR130" s="146"/>
      <c r="AS130" s="146"/>
      <c r="AT130" s="147"/>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152"/>
      <c r="AO132" s="153"/>
      <c r="AP132" s="153"/>
      <c r="AQ132" s="153"/>
      <c r="AR132" s="153"/>
      <c r="AS132" s="153"/>
      <c r="AT132" s="154"/>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164" t="s">
        <v>97</v>
      </c>
      <c r="AB133" s="164"/>
      <c r="AC133" s="164"/>
      <c r="AD133" s="164"/>
      <c r="AE133" s="164"/>
      <c r="AF133" s="164"/>
      <c r="AG133" s="164"/>
      <c r="AH133" s="164"/>
      <c r="AI133" s="164"/>
      <c r="AJ133" s="164"/>
      <c r="AK133" s="164"/>
      <c r="AL133" s="164"/>
      <c r="AM133" s="164"/>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139" t="s">
        <v>58</v>
      </c>
      <c r="AO134" s="139"/>
      <c r="AP134" s="139"/>
      <c r="AQ134" s="139"/>
      <c r="AR134" s="139"/>
      <c r="AS134" s="139"/>
      <c r="AT134" s="139"/>
      <c r="AU134" s="14"/>
      <c r="AZ134" s="56">
        <v>29596800</v>
      </c>
    </row>
    <row r="135" spans="1:62" ht="15.75" customHeight="1" x14ac:dyDescent="0.3">
      <c r="A135" s="13"/>
      <c r="B135" s="406" t="s">
        <v>61</v>
      </c>
      <c r="C135" s="406"/>
      <c r="D135" s="406"/>
      <c r="E135" s="406"/>
      <c r="F135" s="406"/>
      <c r="G135" s="406"/>
      <c r="H135" s="406"/>
      <c r="I135" s="406"/>
      <c r="J135" s="406"/>
      <c r="K135" s="406"/>
      <c r="L135" s="143" t="s">
        <v>136</v>
      </c>
      <c r="M135" s="143"/>
      <c r="N135" s="143"/>
      <c r="O135" s="143"/>
      <c r="P135" s="143"/>
      <c r="Q135" s="143"/>
      <c r="R135" s="143"/>
      <c r="S135" s="143"/>
      <c r="T135" s="143"/>
      <c r="U135" s="143"/>
      <c r="V135" s="143"/>
      <c r="W135" s="31"/>
      <c r="X135" s="33" t="s">
        <v>82</v>
      </c>
      <c r="Y135" s="32"/>
      <c r="Z135" s="32"/>
      <c r="AA135" s="32"/>
      <c r="AB135" s="50"/>
      <c r="AC135" s="50"/>
      <c r="AD135" s="50"/>
      <c r="AE135" s="50"/>
      <c r="AF135" s="50"/>
      <c r="AG135" s="50"/>
      <c r="AH135" s="50"/>
      <c r="AI135" s="50"/>
      <c r="AJ135" s="50"/>
      <c r="AK135" s="50"/>
      <c r="AL135" s="50"/>
      <c r="AM135" s="31"/>
      <c r="AN135" s="394"/>
      <c r="AO135" s="395"/>
      <c r="AP135" s="395"/>
      <c r="AQ135" s="395"/>
      <c r="AR135" s="395"/>
      <c r="AS135" s="395"/>
      <c r="AT135" s="396"/>
      <c r="AU135" s="14"/>
      <c r="AZ135" s="56">
        <f>+AZ134/1.19</f>
        <v>24871260.50420168</v>
      </c>
    </row>
    <row r="136" spans="1:62" ht="15.75" customHeight="1" x14ac:dyDescent="0.35">
      <c r="A136" s="13"/>
      <c r="B136" s="387" t="s">
        <v>62</v>
      </c>
      <c r="C136" s="387"/>
      <c r="D136" s="387"/>
      <c r="E136" s="387"/>
      <c r="F136" s="387"/>
      <c r="G136" s="387"/>
      <c r="H136" s="387"/>
      <c r="I136" s="387"/>
      <c r="J136" s="387"/>
      <c r="K136" s="387"/>
      <c r="L136" s="144"/>
      <c r="M136" s="144"/>
      <c r="N136" s="144"/>
      <c r="O136" s="144"/>
      <c r="P136" s="144"/>
      <c r="Q136" s="144"/>
      <c r="R136" s="144"/>
      <c r="S136" s="144"/>
      <c r="T136" s="144"/>
      <c r="U136" s="144"/>
      <c r="V136" s="144"/>
      <c r="W136" s="31"/>
      <c r="X136" s="55" t="s">
        <v>80</v>
      </c>
      <c r="Y136" s="55"/>
      <c r="Z136" s="55"/>
      <c r="AA136" s="55"/>
      <c r="AB136" s="55"/>
      <c r="AC136" s="55"/>
      <c r="AD136" s="31"/>
      <c r="AE136" s="389">
        <v>44275</v>
      </c>
      <c r="AF136" s="390"/>
      <c r="AG136" s="50"/>
      <c r="AH136" s="50"/>
      <c r="AI136" s="50"/>
      <c r="AJ136" s="50"/>
      <c r="AK136" s="50"/>
      <c r="AL136" s="50"/>
      <c r="AM136" s="31"/>
      <c r="AN136" s="397"/>
      <c r="AO136" s="398"/>
      <c r="AP136" s="398"/>
      <c r="AQ136" s="398"/>
      <c r="AR136" s="398"/>
      <c r="AS136" s="398"/>
      <c r="AT136" s="399"/>
      <c r="AU136" s="14"/>
      <c r="AZ136" s="56">
        <v>59200000</v>
      </c>
    </row>
    <row r="137" spans="1:62" ht="15.75" customHeight="1" thickBot="1" x14ac:dyDescent="0.4">
      <c r="A137" s="13"/>
      <c r="B137" s="387" t="s">
        <v>63</v>
      </c>
      <c r="C137" s="387"/>
      <c r="D137" s="387"/>
      <c r="E137" s="387"/>
      <c r="F137" s="387"/>
      <c r="G137" s="387"/>
      <c r="H137" s="387"/>
      <c r="I137" s="387"/>
      <c r="J137" s="387"/>
      <c r="K137" s="387"/>
      <c r="L137" s="144" t="s">
        <v>137</v>
      </c>
      <c r="M137" s="144"/>
      <c r="N137" s="144"/>
      <c r="O137" s="144"/>
      <c r="P137" s="144"/>
      <c r="Q137" s="144"/>
      <c r="R137" s="144"/>
      <c r="S137" s="144"/>
      <c r="T137" s="144"/>
      <c r="U137" s="144"/>
      <c r="V137" s="144"/>
      <c r="W137" s="32"/>
      <c r="X137" s="55" t="s">
        <v>81</v>
      </c>
      <c r="Y137" s="55"/>
      <c r="Z137" s="55"/>
      <c r="AA137" s="55"/>
      <c r="AB137" s="55"/>
      <c r="AC137" s="55"/>
      <c r="AD137" s="31"/>
      <c r="AE137" s="389" t="s">
        <v>133</v>
      </c>
      <c r="AF137" s="390"/>
      <c r="AG137" s="50"/>
      <c r="AH137" s="50"/>
      <c r="AI137" s="50"/>
      <c r="AJ137" s="50"/>
      <c r="AK137" s="50"/>
      <c r="AL137" s="50"/>
      <c r="AM137" s="31"/>
      <c r="AN137" s="400"/>
      <c r="AO137" s="401"/>
      <c r="AP137" s="401"/>
      <c r="AQ137" s="401"/>
      <c r="AR137" s="401"/>
      <c r="AS137" s="401"/>
      <c r="AT137" s="402"/>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386" t="s">
        <v>99</v>
      </c>
      <c r="C142" s="386"/>
      <c r="D142" s="386"/>
      <c r="E142" s="386"/>
      <c r="F142" s="386"/>
      <c r="G142" s="386"/>
      <c r="H142" s="386"/>
      <c r="I142" s="386"/>
      <c r="J142" s="386"/>
      <c r="K142" s="386"/>
      <c r="L142" s="386"/>
      <c r="M142" s="386"/>
      <c r="N142" s="386"/>
      <c r="O142" s="386"/>
      <c r="P142" s="386"/>
      <c r="Q142" s="386"/>
      <c r="R142" s="386"/>
      <c r="S142" s="386"/>
      <c r="T142" s="386"/>
      <c r="U142" s="386"/>
      <c r="V142" s="386"/>
      <c r="W142" s="386"/>
      <c r="X142" s="386"/>
      <c r="Y142" s="386"/>
      <c r="Z142" s="1"/>
      <c r="AA142" s="1"/>
      <c r="AB142" s="1"/>
      <c r="AC142" s="4"/>
      <c r="AD142" s="385" t="s">
        <v>55</v>
      </c>
      <c r="AE142" s="385"/>
      <c r="AF142" s="385"/>
      <c r="AG142" s="385"/>
      <c r="AH142" s="385"/>
      <c r="AI142" s="385"/>
      <c r="AJ142" s="385"/>
      <c r="AK142" s="385"/>
      <c r="AL142" s="385"/>
      <c r="AM142" s="385"/>
      <c r="AN142" s="385"/>
      <c r="AO142" s="385"/>
      <c r="AP142" s="385"/>
      <c r="AQ142" s="385"/>
      <c r="AR142" s="385"/>
      <c r="AS142" s="385"/>
      <c r="AT142" s="25"/>
      <c r="AU142" s="14"/>
    </row>
    <row r="143" spans="1:62" ht="12.65" customHeight="1" x14ac:dyDescent="0.35">
      <c r="A143" s="13"/>
      <c r="B143" s="386"/>
      <c r="C143" s="386"/>
      <c r="D143" s="386"/>
      <c r="E143" s="386"/>
      <c r="F143" s="386"/>
      <c r="G143" s="386"/>
      <c r="H143" s="386"/>
      <c r="I143" s="386"/>
      <c r="J143" s="386"/>
      <c r="K143" s="386"/>
      <c r="L143" s="386"/>
      <c r="M143" s="386"/>
      <c r="N143" s="386"/>
      <c r="O143" s="386"/>
      <c r="P143" s="386"/>
      <c r="Q143" s="386"/>
      <c r="R143" s="386"/>
      <c r="S143" s="386"/>
      <c r="T143" s="386"/>
      <c r="U143" s="386"/>
      <c r="V143" s="386"/>
      <c r="W143" s="386"/>
      <c r="X143" s="386"/>
      <c r="Y143" s="386"/>
      <c r="Z143" s="1"/>
      <c r="AA143" s="1"/>
      <c r="AB143" s="2"/>
      <c r="AC143" s="4"/>
      <c r="AD143" s="385"/>
      <c r="AE143" s="385"/>
      <c r="AF143" s="385"/>
      <c r="AG143" s="385"/>
      <c r="AH143" s="385"/>
      <c r="AI143" s="385"/>
      <c r="AJ143" s="385"/>
      <c r="AK143" s="385"/>
      <c r="AL143" s="385"/>
      <c r="AM143" s="385"/>
      <c r="AN143" s="385"/>
      <c r="AO143" s="385"/>
      <c r="AP143" s="385"/>
      <c r="AQ143" s="385"/>
      <c r="AR143" s="385"/>
      <c r="AS143" s="385"/>
      <c r="AT143" s="25"/>
      <c r="AU143" s="14"/>
    </row>
    <row r="144" spans="1:62" ht="11.25" customHeight="1" x14ac:dyDescent="0.35">
      <c r="A144" s="13"/>
      <c r="B144" s="386"/>
      <c r="C144" s="386"/>
      <c r="D144" s="386"/>
      <c r="E144" s="386"/>
      <c r="F144" s="386"/>
      <c r="G144" s="386"/>
      <c r="H144" s="386"/>
      <c r="I144" s="386"/>
      <c r="J144" s="386"/>
      <c r="K144" s="386"/>
      <c r="L144" s="386"/>
      <c r="M144" s="386"/>
      <c r="N144" s="386"/>
      <c r="O144" s="386"/>
      <c r="P144" s="386"/>
      <c r="Q144" s="386"/>
      <c r="R144" s="386"/>
      <c r="S144" s="386"/>
      <c r="T144" s="386"/>
      <c r="U144" s="386"/>
      <c r="V144" s="386"/>
      <c r="W144" s="386"/>
      <c r="X144" s="386"/>
      <c r="Y144" s="386"/>
      <c r="Z144" s="1"/>
      <c r="AA144" s="1"/>
      <c r="AB144" s="2"/>
      <c r="AC144" s="4"/>
      <c r="AD144" s="385"/>
      <c r="AE144" s="385"/>
      <c r="AF144" s="385"/>
      <c r="AG144" s="385"/>
      <c r="AH144" s="385"/>
      <c r="AI144" s="385"/>
      <c r="AJ144" s="385"/>
      <c r="AK144" s="385"/>
      <c r="AL144" s="385"/>
      <c r="AM144" s="385"/>
      <c r="AN144" s="385"/>
      <c r="AO144" s="385"/>
      <c r="AP144" s="385"/>
      <c r="AQ144" s="385"/>
      <c r="AR144" s="385"/>
      <c r="AS144" s="385"/>
      <c r="AT144" s="25"/>
      <c r="AU144" s="14"/>
      <c r="BJ144" s="3" t="s">
        <v>75</v>
      </c>
    </row>
    <row r="145" spans="1:47" s="31" customFormat="1" ht="12.65" customHeight="1" x14ac:dyDescent="0.35">
      <c r="A145" s="29"/>
      <c r="B145" s="386"/>
      <c r="C145" s="386"/>
      <c r="D145" s="386"/>
      <c r="E145" s="386"/>
      <c r="F145" s="386"/>
      <c r="G145" s="386"/>
      <c r="H145" s="386"/>
      <c r="I145" s="386"/>
      <c r="J145" s="386"/>
      <c r="K145" s="386"/>
      <c r="L145" s="386"/>
      <c r="M145" s="386"/>
      <c r="N145" s="386"/>
      <c r="O145" s="386"/>
      <c r="P145" s="386"/>
      <c r="Q145" s="386"/>
      <c r="R145" s="386"/>
      <c r="S145" s="386"/>
      <c r="T145" s="386"/>
      <c r="U145" s="386"/>
      <c r="V145" s="386"/>
      <c r="W145" s="386"/>
      <c r="X145" s="386"/>
      <c r="Y145" s="386"/>
      <c r="Z145" s="1"/>
      <c r="AA145" s="1"/>
      <c r="AB145" s="2"/>
      <c r="AC145" s="4"/>
      <c r="AD145" s="385"/>
      <c r="AE145" s="385"/>
      <c r="AF145" s="385"/>
      <c r="AG145" s="385"/>
      <c r="AH145" s="385"/>
      <c r="AI145" s="385"/>
      <c r="AJ145" s="385"/>
      <c r="AK145" s="385"/>
      <c r="AL145" s="385"/>
      <c r="AM145" s="385"/>
      <c r="AN145" s="385"/>
      <c r="AO145" s="385"/>
      <c r="AP145" s="385"/>
      <c r="AQ145" s="385"/>
      <c r="AR145" s="385"/>
      <c r="AS145" s="385"/>
      <c r="AT145" s="25"/>
      <c r="AU145" s="30"/>
    </row>
    <row r="146" spans="1:47" s="31" customFormat="1" ht="12.65" customHeight="1" thickBot="1" x14ac:dyDescent="0.4">
      <c r="A146" s="29"/>
      <c r="B146" s="386"/>
      <c r="C146" s="386"/>
      <c r="D146" s="386"/>
      <c r="E146" s="386"/>
      <c r="F146" s="386"/>
      <c r="G146" s="386"/>
      <c r="H146" s="386"/>
      <c r="I146" s="386"/>
      <c r="J146" s="386"/>
      <c r="K146" s="386"/>
      <c r="L146" s="386"/>
      <c r="M146" s="386"/>
      <c r="N146" s="386"/>
      <c r="O146" s="386"/>
      <c r="P146" s="386"/>
      <c r="Q146" s="386"/>
      <c r="R146" s="386"/>
      <c r="S146" s="386"/>
      <c r="T146" s="386"/>
      <c r="U146" s="386"/>
      <c r="V146" s="386"/>
      <c r="W146" s="386"/>
      <c r="X146" s="386"/>
      <c r="Y146" s="386"/>
      <c r="Z146" s="1"/>
      <c r="AA146" s="1"/>
      <c r="AB146" s="2"/>
      <c r="AC146" s="4" t="s">
        <v>39</v>
      </c>
      <c r="AD146" s="388"/>
      <c r="AE146" s="388"/>
      <c r="AF146" s="388"/>
      <c r="AG146" s="388"/>
      <c r="AH146" s="388"/>
      <c r="AI146" s="388"/>
      <c r="AJ146" s="388"/>
      <c r="AK146" s="388"/>
      <c r="AL146" s="388"/>
      <c r="AM146" s="388"/>
      <c r="AN146" s="388"/>
      <c r="AO146" s="388"/>
      <c r="AP146" s="388"/>
      <c r="AQ146" s="388"/>
      <c r="AR146" s="388"/>
      <c r="AS146" s="388"/>
      <c r="AT146" s="25"/>
      <c r="AU146" s="30"/>
    </row>
    <row r="147" spans="1:47" s="31" customFormat="1" ht="12.65" customHeight="1" x14ac:dyDescent="0.35">
      <c r="A147" s="29"/>
      <c r="B147" s="386"/>
      <c r="C147" s="386"/>
      <c r="D147" s="386"/>
      <c r="E147" s="386"/>
      <c r="F147" s="386"/>
      <c r="G147" s="386"/>
      <c r="H147" s="386"/>
      <c r="I147" s="386"/>
      <c r="J147" s="386"/>
      <c r="K147" s="386"/>
      <c r="L147" s="386"/>
      <c r="M147" s="386"/>
      <c r="N147" s="386"/>
      <c r="O147" s="386"/>
      <c r="P147" s="386"/>
      <c r="Q147" s="386"/>
      <c r="R147" s="386"/>
      <c r="S147" s="386"/>
      <c r="T147" s="386"/>
      <c r="U147" s="386"/>
      <c r="V147" s="386"/>
      <c r="W147" s="386"/>
      <c r="X147" s="386"/>
      <c r="Y147" s="386"/>
      <c r="Z147" s="1"/>
      <c r="AA147" s="1"/>
      <c r="AB147" s="2"/>
      <c r="AC147" s="4" t="s">
        <v>40</v>
      </c>
      <c r="AD147" s="108" t="s">
        <v>138</v>
      </c>
      <c r="AE147" s="108"/>
      <c r="AF147" s="108"/>
      <c r="AG147" s="108"/>
      <c r="AH147" s="108"/>
      <c r="AI147" s="108"/>
      <c r="AJ147" s="108"/>
      <c r="AK147" s="108"/>
      <c r="AL147" s="108"/>
      <c r="AM147" s="108"/>
      <c r="AN147" s="108"/>
      <c r="AO147" s="108"/>
      <c r="AP147" s="108"/>
      <c r="AQ147" s="108"/>
      <c r="AR147" s="108"/>
      <c r="AS147" s="108"/>
      <c r="AT147" s="2"/>
      <c r="AU147" s="30"/>
    </row>
    <row r="148" spans="1:47" s="31" customFormat="1" ht="12.65" customHeight="1" x14ac:dyDescent="0.35">
      <c r="A148" s="29"/>
      <c r="B148" s="386"/>
      <c r="C148" s="386"/>
      <c r="D148" s="386"/>
      <c r="E148" s="386"/>
      <c r="F148" s="386"/>
      <c r="G148" s="386"/>
      <c r="H148" s="386"/>
      <c r="I148" s="386"/>
      <c r="J148" s="386"/>
      <c r="K148" s="386"/>
      <c r="L148" s="386"/>
      <c r="M148" s="386"/>
      <c r="N148" s="386"/>
      <c r="O148" s="386"/>
      <c r="P148" s="386"/>
      <c r="Q148" s="386"/>
      <c r="R148" s="386"/>
      <c r="S148" s="386"/>
      <c r="T148" s="386"/>
      <c r="U148" s="386"/>
      <c r="V148" s="386"/>
      <c r="W148" s="386"/>
      <c r="X148" s="386"/>
      <c r="Y148" s="386"/>
      <c r="Z148" s="1"/>
      <c r="AA148" s="1"/>
      <c r="AB148" s="2"/>
      <c r="AC148" s="4" t="s">
        <v>41</v>
      </c>
      <c r="AD148" s="108" t="s">
        <v>141</v>
      </c>
      <c r="AE148" s="108"/>
      <c r="AF148" s="108"/>
      <c r="AG148" s="108"/>
      <c r="AH148" s="108"/>
      <c r="AI148" s="108"/>
      <c r="AJ148" s="108"/>
      <c r="AK148" s="108"/>
      <c r="AL148" s="108"/>
      <c r="AM148" s="108"/>
      <c r="AN148" s="108"/>
      <c r="AO148" s="108"/>
      <c r="AP148" s="108"/>
      <c r="AQ148" s="108"/>
      <c r="AR148" s="108"/>
      <c r="AS148" s="108"/>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403">
        <v>46038</v>
      </c>
      <c r="AE149" s="108"/>
      <c r="AF149" s="108"/>
      <c r="AG149" s="108"/>
      <c r="AH149" s="108"/>
      <c r="AI149" s="108"/>
      <c r="AJ149" s="108"/>
      <c r="AK149" s="108"/>
      <c r="AL149" s="108"/>
      <c r="AM149" s="108"/>
      <c r="AN149" s="108"/>
      <c r="AO149" s="108"/>
      <c r="AP149" s="108"/>
      <c r="AQ149" s="108"/>
      <c r="AR149" s="108"/>
      <c r="AS149" s="108"/>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353" t="s">
        <v>76</v>
      </c>
      <c r="B153" s="354"/>
      <c r="C153" s="354"/>
      <c r="D153" s="354"/>
      <c r="E153" s="354"/>
      <c r="F153" s="354"/>
      <c r="G153" s="354"/>
      <c r="H153" s="354"/>
      <c r="I153" s="354"/>
      <c r="J153" s="354"/>
      <c r="K153" s="354"/>
      <c r="L153" s="354"/>
      <c r="M153" s="354"/>
      <c r="N153" s="354"/>
      <c r="O153" s="354"/>
      <c r="P153" s="354"/>
      <c r="Q153" s="354"/>
      <c r="R153" s="354"/>
      <c r="S153" s="354"/>
      <c r="T153" s="354"/>
      <c r="U153" s="354"/>
      <c r="V153" s="354"/>
      <c r="W153" s="354"/>
      <c r="X153" s="354"/>
      <c r="Y153" s="354"/>
      <c r="Z153" s="354"/>
      <c r="AA153" s="354"/>
      <c r="AB153" s="354"/>
      <c r="AC153" s="354"/>
      <c r="AD153" s="354"/>
      <c r="AE153" s="354"/>
      <c r="AF153" s="354"/>
      <c r="AG153" s="354"/>
      <c r="AH153" s="354"/>
      <c r="AI153" s="354"/>
      <c r="AJ153" s="354"/>
      <c r="AK153" s="354"/>
      <c r="AL153" s="354"/>
      <c r="AM153" s="354"/>
      <c r="AN153" s="354"/>
      <c r="AO153" s="354"/>
      <c r="AP153" s="354"/>
      <c r="AQ153" s="354"/>
      <c r="AR153" s="354"/>
      <c r="AS153" s="354"/>
      <c r="AT153" s="354"/>
      <c r="AU153" s="355"/>
    </row>
    <row r="154" spans="1:47" ht="309.75" customHeight="1" x14ac:dyDescent="0.35">
      <c r="A154" s="391" t="s">
        <v>83</v>
      </c>
      <c r="B154" s="392"/>
      <c r="C154" s="392"/>
      <c r="D154" s="392"/>
      <c r="E154" s="392"/>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92"/>
      <c r="AQ154" s="392"/>
      <c r="AR154" s="392"/>
      <c r="AS154" s="392"/>
      <c r="AT154" s="392"/>
      <c r="AU154" s="393"/>
    </row>
    <row r="155" spans="1:47" ht="246.75" customHeight="1" x14ac:dyDescent="0.35">
      <c r="A155" s="404" t="s">
        <v>92</v>
      </c>
      <c r="B155" s="386"/>
      <c r="C155" s="386"/>
      <c r="D155" s="386"/>
      <c r="E155" s="386"/>
      <c r="F155" s="386"/>
      <c r="G155" s="386"/>
      <c r="H155" s="386"/>
      <c r="I155" s="386"/>
      <c r="J155" s="386"/>
      <c r="K155" s="386"/>
      <c r="L155" s="386"/>
      <c r="M155" s="386"/>
      <c r="N155" s="386"/>
      <c r="O155" s="386"/>
      <c r="P155" s="386"/>
      <c r="Q155" s="386"/>
      <c r="R155" s="386"/>
      <c r="S155" s="386"/>
      <c r="T155" s="386"/>
      <c r="U155" s="386"/>
      <c r="V155" s="386"/>
      <c r="W155" s="386"/>
      <c r="X155" s="386"/>
      <c r="Y155" s="386"/>
      <c r="Z155" s="386"/>
      <c r="AA155" s="386"/>
      <c r="AB155" s="386"/>
      <c r="AC155" s="386"/>
      <c r="AD155" s="386"/>
      <c r="AE155" s="386"/>
      <c r="AF155" s="386"/>
      <c r="AG155" s="386"/>
      <c r="AH155" s="386"/>
      <c r="AI155" s="386"/>
      <c r="AJ155" s="386"/>
      <c r="AK155" s="386"/>
      <c r="AL155" s="386"/>
      <c r="AM155" s="386"/>
      <c r="AN155" s="386"/>
      <c r="AO155" s="386"/>
      <c r="AP155" s="386"/>
      <c r="AQ155" s="386"/>
      <c r="AR155" s="386"/>
      <c r="AS155" s="386"/>
      <c r="AT155" s="386"/>
      <c r="AU155" s="405"/>
    </row>
    <row r="156" spans="1:47" ht="110.25" customHeight="1" thickBot="1" x14ac:dyDescent="0.4">
      <c r="A156" s="382" t="s">
        <v>91</v>
      </c>
      <c r="B156" s="383"/>
      <c r="C156" s="383"/>
      <c r="D156" s="383"/>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c r="AD156" s="383"/>
      <c r="AE156" s="383"/>
      <c r="AF156" s="383"/>
      <c r="AG156" s="383"/>
      <c r="AH156" s="383"/>
      <c r="AI156" s="383"/>
      <c r="AJ156" s="383"/>
      <c r="AK156" s="383"/>
      <c r="AL156" s="383"/>
      <c r="AM156" s="383"/>
      <c r="AN156" s="383"/>
      <c r="AO156" s="383"/>
      <c r="AP156" s="383"/>
      <c r="AQ156" s="383"/>
      <c r="AR156" s="383"/>
      <c r="AS156" s="383"/>
      <c r="AT156" s="383"/>
      <c r="AU156" s="384"/>
    </row>
  </sheetData>
  <mergeCells count="456">
    <mergeCell ref="C107:G107"/>
    <mergeCell ref="V107:W107"/>
    <mergeCell ref="X107:AM107"/>
    <mergeCell ref="H107:L107"/>
    <mergeCell ref="M107:O107"/>
    <mergeCell ref="B106:AT106"/>
    <mergeCell ref="H108:L108"/>
    <mergeCell ref="C111:G111"/>
    <mergeCell ref="V111:W111"/>
    <mergeCell ref="P107:R107"/>
    <mergeCell ref="S107:U107"/>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R29:U29"/>
    <mergeCell ref="I30:K30"/>
    <mergeCell ref="AH30:AM30"/>
    <mergeCell ref="AN30:AT30"/>
    <mergeCell ref="M28:P28"/>
    <mergeCell ref="W30:AA30"/>
    <mergeCell ref="AH23:AM23"/>
    <mergeCell ref="I29:K29"/>
    <mergeCell ref="R28:U28"/>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AS2:AT2"/>
    <mergeCell ref="AQ2:AR2"/>
    <mergeCell ref="AO2:AP2"/>
    <mergeCell ref="B5:AT5"/>
    <mergeCell ref="AK8:AT8"/>
    <mergeCell ref="AK7:AT7"/>
    <mergeCell ref="AD8:AJ8"/>
    <mergeCell ref="I8:AB8"/>
    <mergeCell ref="J2:AK3"/>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AJ83:AT83"/>
    <mergeCell ref="B84:E84"/>
    <mergeCell ref="F84:U84"/>
    <mergeCell ref="V84:W84"/>
    <mergeCell ref="X84:Z84"/>
    <mergeCell ref="AA84:AC84"/>
    <mergeCell ref="AD84:AF84"/>
    <mergeCell ref="AG84:AI84"/>
    <mergeCell ref="AJ84:AT84"/>
    <mergeCell ref="AJ85:AT85"/>
    <mergeCell ref="B86:E86"/>
    <mergeCell ref="F86:U86"/>
    <mergeCell ref="V86:W86"/>
    <mergeCell ref="X86:Z86"/>
    <mergeCell ref="AA86:AC86"/>
    <mergeCell ref="AD86:AF86"/>
    <mergeCell ref="AG86:AI86"/>
    <mergeCell ref="AJ86:AT86"/>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 ref="AA83:AC83"/>
    <mergeCell ref="AD83:AF83"/>
    <mergeCell ref="AG83:AI83"/>
    <mergeCell ref="B81:E81"/>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2026-02-13T19:29:30Z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